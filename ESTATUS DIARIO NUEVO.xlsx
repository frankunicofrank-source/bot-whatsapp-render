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babela\Desktop\MIAMI1\WHAT\"/>
    </mc:Choice>
  </mc:AlternateContent>
  <xr:revisionPtr revIDLastSave="0" documentId="8_{D4BC32CF-6574-4F20-AA13-919BC493F559}" xr6:coauthVersionLast="47" xr6:coauthVersionMax="47" xr10:uidLastSave="{00000000-0000-0000-0000-000000000000}"/>
  <bookViews>
    <workbookView xWindow="-120" yWindow="-120" windowWidth="20730" windowHeight="11160" xr2:uid="{F6D276E5-1CD9-435E-B50E-B5D58CD8AC9D}"/>
  </bookViews>
  <sheets>
    <sheet name="STATUS (2)" sheetId="27" r:id="rId1"/>
    <sheet name="ENTREGADOS" sheetId="30" r:id="rId2"/>
    <sheet name="Hoja1" sheetId="28" r:id="rId3"/>
    <sheet name="aog" sheetId="19" r:id="rId4"/>
    <sheet name="SAB" sheetId="10" r:id="rId5"/>
    <sheet name="LISTA DE VERIFICACIÓN" sheetId="2" r:id="rId6"/>
    <sheet name="partidas" sheetId="24" r:id="rId7"/>
    <sheet name="JB" sheetId="26" r:id="rId8"/>
  </sheets>
  <definedNames>
    <definedName name="_xlnm._FilterDatabase" localSheetId="4" hidden="1">SAB!$A$1:$I$85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 a="1"/>
  <c r="G1" i="2" s="1"/>
  <c r="F1" i="2" a="1"/>
  <c r="F1" i="2" s="1"/>
  <c r="L27" i="28"/>
  <c r="J27" i="28"/>
  <c r="I27" i="2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<sst xmlns="http://schemas.openxmlformats.org/spreadsheetml/2006/main" count="1686" uniqueCount="753">
  <si>
    <t>PROCESO</t>
  </si>
  <si>
    <t>TIPO</t>
  </si>
  <si>
    <t>GUIA</t>
  </si>
  <si>
    <t>REFRENDO</t>
  </si>
  <si>
    <t>MRN</t>
  </si>
  <si>
    <t>FECHA DE ARRIBO</t>
  </si>
  <si>
    <t>DIG</t>
  </si>
  <si>
    <t>STATUS</t>
  </si>
  <si>
    <t>Solicitu de creación</t>
  </si>
  <si>
    <t>COMAIL</t>
  </si>
  <si>
    <t>IMPORTACIÓN</t>
  </si>
  <si>
    <t>FO</t>
  </si>
  <si>
    <t>REG.75</t>
  </si>
  <si>
    <t>Regimen.10</t>
  </si>
  <si>
    <t>EN ESPERA DE ARRIBO</t>
  </si>
  <si>
    <t>REG.60</t>
  </si>
  <si>
    <t>REEXPORTACIÓN</t>
  </si>
  <si>
    <t>ORDEN3</t>
  </si>
  <si>
    <t>DESTRUCCIÓN</t>
  </si>
  <si>
    <t>LC</t>
  </si>
  <si>
    <t>D25AO50GYE</t>
  </si>
  <si>
    <t>CE</t>
  </si>
  <si>
    <t>D25AO51GYE</t>
  </si>
  <si>
    <t>AOG</t>
  </si>
  <si>
    <t>25-005QT</t>
  </si>
  <si>
    <t>AV8373 Nov 24</t>
  </si>
  <si>
    <t>YA NO SE REQUIERE EN UIO</t>
  </si>
  <si>
    <t>25EX-001 JB GYE</t>
  </si>
  <si>
    <t>01920256001584172</t>
  </si>
  <si>
    <t>10JUL</t>
  </si>
  <si>
    <t>REGULARIZADO</t>
  </si>
  <si>
    <t>25EX-003 JB GYE</t>
  </si>
  <si>
    <t>01920256002180589</t>
  </si>
  <si>
    <t>20OCT</t>
  </si>
  <si>
    <t>25EX-004 JB GYE</t>
  </si>
  <si>
    <t>01920256002222353</t>
  </si>
  <si>
    <t>27OCT</t>
  </si>
  <si>
    <t>25-001 JB GYE</t>
  </si>
  <si>
    <t>ENTREGADO</t>
  </si>
  <si>
    <t>25-002 JB</t>
  </si>
  <si>
    <t>01920257502193340</t>
  </si>
  <si>
    <t>25-003 JB</t>
  </si>
  <si>
    <t>2025-10-22-089142</t>
  </si>
  <si>
    <t>AV</t>
  </si>
  <si>
    <t>SOLICITUD CAMBIO CORREO ECUAPASS</t>
  </si>
  <si>
    <t>25-010QT</t>
  </si>
  <si>
    <t>3795970 - 3795971</t>
  </si>
  <si>
    <t>AV8373 Nov 23</t>
  </si>
  <si>
    <t>ENVÍO CANCELADO</t>
  </si>
  <si>
    <t>25-011QT</t>
  </si>
  <si>
    <t>D25AO52GYE</t>
  </si>
  <si>
    <t>Exportación</t>
  </si>
  <si>
    <t>DAS</t>
  </si>
  <si>
    <t>DESCRIPCION</t>
  </si>
  <si>
    <t>PARTIDA</t>
  </si>
  <si>
    <t>TNAN</t>
  </si>
  <si>
    <t>PLATO BASE BC</t>
  </si>
  <si>
    <t>PIMENTERO/ PEPPER SHAKER BC</t>
  </si>
  <si>
    <t>COPA VINO/CHAMPANA</t>
  </si>
  <si>
    <t>0001</t>
  </si>
  <si>
    <t>TAZA CAFE MUG BC</t>
  </si>
  <si>
    <t>VASO CRISTAL POUSSE CAFE BC</t>
  </si>
  <si>
    <t>PLATO ENTRADA BC</t>
  </si>
  <si>
    <t>TENEDOR ACERO INOX BC</t>
  </si>
  <si>
    <t>METALICO</t>
  </si>
  <si>
    <t>HIELERA PLASTICA</t>
  </si>
  <si>
    <t>PLATO FUERTE BC</t>
  </si>
  <si>
    <t>SALERO/ SALT SHAKER BC</t>
  </si>
  <si>
    <t>3924900000</t>
  </si>
  <si>
    <t>PARRILLA/REJILLA PART SB006147</t>
  </si>
  <si>
    <t>RACK PARRILLA/REJILLA PART IA01013</t>
  </si>
  <si>
    <t>7326909090</t>
  </si>
  <si>
    <t>6911100000</t>
  </si>
  <si>
    <t>VASO CRISTAL WHISKY BC</t>
  </si>
  <si>
    <t>PRECINTO</t>
  </si>
  <si>
    <t>RACK PARRILLA</t>
  </si>
  <si>
    <t xml:space="preserve">      </t>
  </si>
  <si>
    <t>PARRILLA/REJILLA</t>
  </si>
  <si>
    <t>PAPAS LIMA LIMON 25GR</t>
  </si>
  <si>
    <t>TROLLEY</t>
  </si>
  <si>
    <t>CUBREBANDEJA BC</t>
  </si>
  <si>
    <t>SACA CORCHOS</t>
  </si>
  <si>
    <t>MANTEL DE TELA BC</t>
  </si>
  <si>
    <t>SERVILLETA BC</t>
  </si>
  <si>
    <t>CAJA CARTON</t>
  </si>
  <si>
    <t>SERVILLETERO</t>
  </si>
  <si>
    <t>TARJETA BIENVENIDA</t>
  </si>
  <si>
    <t>4811909000 </t>
  </si>
  <si>
    <t>PIDA LIBx50</t>
  </si>
  <si>
    <t>AVG ISP</t>
  </si>
  <si>
    <t>RACK PARRILLA/REJILLA</t>
  </si>
  <si>
    <t>DESCORCHADORES</t>
  </si>
  <si>
    <t>CUBREBANDEJA TELA BC</t>
  </si>
  <si>
    <t>TE NEGRO ENGLISH BREAKFAST 1.8 GR</t>
  </si>
  <si>
    <t>0902.30.00.00 </t>
  </si>
  <si>
    <t>INFUSION SUPERBLENDS RELAX</t>
  </si>
  <si>
    <t>2008.97.00.00 </t>
  </si>
  <si>
    <t>INFUSION SUPERBLENDS DIGEST</t>
  </si>
  <si>
    <t>MINI ALMOJABANAS 15 GR</t>
  </si>
  <si>
    <t>1905.90.90.00 </t>
  </si>
  <si>
    <t>Gta. TOSH Fusion de Cereal Fit Bs. 9x3</t>
  </si>
  <si>
    <t>1905.31.00.00</t>
  </si>
  <si>
    <t>Mix premium con avellanas y nuez de nogal 40 gr</t>
  </si>
  <si>
    <t>0813.50.00.00</t>
  </si>
  <si>
    <t>Piña Liofilizada 12 gr</t>
  </si>
  <si>
    <t>0804.30.00.00</t>
  </si>
  <si>
    <t>AGROCALIDAD DCP</t>
  </si>
  <si>
    <t>Papas Sal Rosada 25gr</t>
  </si>
  <si>
    <t>2005.20.00.00 </t>
  </si>
  <si>
    <t>Papas BBQ Dulce 25gr</t>
  </si>
  <si>
    <t>Papas Lima Limón 25gr</t>
  </si>
  <si>
    <t>Plátano maduro sal marina</t>
  </si>
  <si>
    <t>2008.99.90.00</t>
  </si>
  <si>
    <t>Chicharrón lima limón</t>
  </si>
  <si>
    <t>2301.10.10.00</t>
  </si>
  <si>
    <t> AGROCALIDAD DCP</t>
  </si>
  <si>
    <t>BOLSA ECOLOGICA NB AMERICAS</t>
  </si>
  <si>
    <t xml:space="preserve"> 6305.39.00.00 </t>
  </si>
  <si>
    <t>ALMOHADA BC MEDIANA (30x50CM)</t>
  </si>
  <si>
    <t>FUNDA TELA ALMOHADA BC MEDIANA (53X37CM)</t>
  </si>
  <si>
    <t>6302.32.00.00 </t>
  </si>
  <si>
    <t>CARTUCHERA O BOLSO DE SUPERFICIE TEXTIL</t>
  </si>
  <si>
    <t>4202.32.00.00</t>
  </si>
  <si>
    <t>CREMA DE MANOS // </t>
  </si>
  <si>
    <t>3304.99.00.90 </t>
  </si>
  <si>
    <t xml:space="preserve">GAVETA // </t>
  </si>
  <si>
    <t>REPUESTO DE PANOS HUMEDOS //</t>
  </si>
  <si>
    <t xml:space="preserve"> 3808.94.19.00 </t>
  </si>
  <si>
    <t>PROTECTOR DE LABIOS (AMENITY KIT)</t>
  </si>
  <si>
    <t>3304.10.00.00</t>
  </si>
  <si>
    <t>|CEPILLO DENTAL AMENITY KIT</t>
  </si>
  <si>
    <t>9603.21.00.00 -0000</t>
  </si>
  <si>
    <t>CREMA DENTAL AMENITY KIT</t>
  </si>
  <si>
    <t>3306.10.00.00</t>
  </si>
  <si>
    <t>TAPA OIDOS (AMENITY KIT)</t>
  </si>
  <si>
    <t>3926.90.90.00</t>
  </si>
  <si>
    <t>MEDIAS (AMENITY KIT)</t>
  </si>
  <si>
    <t>6115.95.00.00</t>
  </si>
  <si>
    <t>PAQUETE DE PAÑUELOS (AMENITY KIT)</t>
  </si>
  <si>
    <t>4818.20.00.00 </t>
  </si>
  <si>
    <t>CREMA DE MANOS Y UNAS (AMENITY KIT)</t>
  </si>
  <si>
    <t>CINTURON AMENITY KIT INSIGNIA EUR PAPEL IMPRESO</t>
  </si>
  <si>
    <t>4811.90.90.00</t>
  </si>
  <si>
    <t>PROTECTOR DE OJOS (AMENITY KIT)</t>
  </si>
  <si>
    <t>6307.90.90.00-0000</t>
  </si>
  <si>
    <t>COBIJA YC GRIS</t>
  </si>
  <si>
    <t>9404.90.00.00</t>
  </si>
  <si>
    <t>CANASTA PLASTICA</t>
  </si>
  <si>
    <t>Comail</t>
  </si>
  <si>
    <t>017777932025AO000069P</t>
  </si>
  <si>
    <t>017777932025AO000068P</t>
  </si>
  <si>
    <t>006 TA</t>
  </si>
  <si>
    <t>017777932025AO000060P</t>
  </si>
  <si>
    <t>065 AV</t>
  </si>
  <si>
    <t>067 AV</t>
  </si>
  <si>
    <t>004 QT</t>
  </si>
  <si>
    <t>017777932025AO000072P</t>
  </si>
  <si>
    <t>017777932025AO000073P</t>
  </si>
  <si>
    <t>017777932025AO000074P</t>
  </si>
  <si>
    <t>017777932025AO000075P</t>
  </si>
  <si>
    <t>017777932025AO000076P</t>
  </si>
  <si>
    <t>D25AO69 AV</t>
  </si>
  <si>
    <t>D25AO68 AV</t>
  </si>
  <si>
    <t>D25AO60 TA</t>
  </si>
  <si>
    <t>PAGAR G&amp;M</t>
  </si>
  <si>
    <t>IMPORTADOR</t>
  </si>
  <si>
    <t>ORDEN</t>
  </si>
  <si>
    <t>PENDIENTE INSPECCION GYE</t>
  </si>
  <si>
    <t>REFERENCIA3</t>
  </si>
  <si>
    <t>GENERAL</t>
  </si>
  <si>
    <t>AOG  N°</t>
  </si>
  <si>
    <t>PART NUMBER</t>
  </si>
  <si>
    <t>DESCRIPTION OF GOODS</t>
  </si>
  <si>
    <t>QTY</t>
  </si>
  <si>
    <t>25-065</t>
  </si>
  <si>
    <t>5000C5029</t>
  </si>
  <si>
    <t>ELECTRICAL LOAD SENSOR DEVICE</t>
  </si>
  <si>
    <t>25-067</t>
  </si>
  <si>
    <t>5000Z5127</t>
  </si>
  <si>
    <t>PACKING</t>
  </si>
  <si>
    <t>AVIANCA</t>
  </si>
  <si>
    <t>TACA</t>
  </si>
  <si>
    <t>25-006 TA</t>
  </si>
  <si>
    <t>S700B1423-513</t>
  </si>
  <si>
    <t>BUSHING</t>
  </si>
  <si>
    <t>S700B1422-513</t>
  </si>
  <si>
    <t>S700M1195C1</t>
  </si>
  <si>
    <t>PIN-RETAINING</t>
  </si>
  <si>
    <t>83647-14-1</t>
  </si>
  <si>
    <t>PIN</t>
  </si>
  <si>
    <t>QUIPUX</t>
  </si>
  <si>
    <t>SENAE-DSGQ-2025-19243-E</t>
  </si>
  <si>
    <t>SENAE-DSGQ-2025-19241-E</t>
  </si>
  <si>
    <t>SENAE-DSGQ-2025-17434-E</t>
  </si>
  <si>
    <t>INGRESO AOG</t>
  </si>
  <si>
    <t>N/A</t>
  </si>
  <si>
    <t>7013280000</t>
  </si>
  <si>
    <t>8215990000</t>
  </si>
  <si>
    <t>MEZCLADOR MADERA INDIVIDUAL</t>
  </si>
  <si>
    <t>CLIENTE</t>
  </si>
  <si>
    <t>TAMPA</t>
  </si>
  <si>
    <t>JARRA METALICA ACERO INOX / PARA LECHE</t>
  </si>
  <si>
    <t>TCA JUAN ENRIQUEZ</t>
  </si>
  <si>
    <t>revision facturacion 2025</t>
  </si>
  <si>
    <t>7013370000</t>
  </si>
  <si>
    <t>9404400000 </t>
  </si>
  <si>
    <t>SAB COMPENSAR 2025</t>
  </si>
  <si>
    <t>Regimen.87</t>
  </si>
  <si>
    <t>05520258702668719</t>
  </si>
  <si>
    <t>REFERENCIA</t>
  </si>
  <si>
    <t>DOCUMENTAL, SALIDA AUTORIZADA</t>
  </si>
  <si>
    <t>01777793202500000441P</t>
  </si>
  <si>
    <t>R87002-449</t>
  </si>
  <si>
    <t>R87001-441</t>
  </si>
  <si>
    <t>05520258702693007</t>
  </si>
  <si>
    <t>documental</t>
  </si>
  <si>
    <t>QT4133 Dec 31</t>
  </si>
  <si>
    <t>26M-001 QT</t>
  </si>
  <si>
    <t>26-004G</t>
  </si>
  <si>
    <t>FO/</t>
  </si>
  <si>
    <t>CEC2025QT000493-0049-0000</t>
  </si>
  <si>
    <t>25-001 SAB</t>
  </si>
  <si>
    <t>05520261000008464</t>
  </si>
  <si>
    <t>26M-005 FX</t>
  </si>
  <si>
    <t>26-004 SAB</t>
  </si>
  <si>
    <t>26M-009 SAB</t>
  </si>
  <si>
    <t>AV0125 Jan 08</t>
  </si>
  <si>
    <t>AV0159 Jan 10</t>
  </si>
  <si>
    <t>26-005 SAB</t>
  </si>
  <si>
    <t>26-029A</t>
  </si>
  <si>
    <t>26-031A</t>
  </si>
  <si>
    <t>26EX-024</t>
  </si>
  <si>
    <t>26EX-023</t>
  </si>
  <si>
    <t>05520266000032169</t>
  </si>
  <si>
    <t xml:space="preserve"> 05520266000032108</t>
  </si>
  <si>
    <t>CEC2026AV000012-0002-0000</t>
  </si>
  <si>
    <t>AV0117 Jan 09</t>
  </si>
  <si>
    <t>SELLO/PRECINTO AZUL</t>
  </si>
  <si>
    <t>26-032A</t>
  </si>
  <si>
    <t>26-033A</t>
  </si>
  <si>
    <t>26M-010 SAB</t>
  </si>
  <si>
    <t>26-035A</t>
  </si>
  <si>
    <t>25-011 MIA</t>
  </si>
  <si>
    <t>26-014  MIA</t>
  </si>
  <si>
    <t>26-010 MIA</t>
  </si>
  <si>
    <t>26-015 MIA</t>
  </si>
  <si>
    <t>26-016 MIA</t>
  </si>
  <si>
    <t>26-017 MIA</t>
  </si>
  <si>
    <t>AV8373 Jan 09</t>
  </si>
  <si>
    <t>AV0125 Jan 09</t>
  </si>
  <si>
    <t>AV8377 Jan 10</t>
  </si>
  <si>
    <t>QT4141 Jan 11</t>
  </si>
  <si>
    <t>QT4035 Jan 10</t>
  </si>
  <si>
    <t>QT4037 Jan 10</t>
  </si>
  <si>
    <t>AV0125 Jan 10</t>
  </si>
  <si>
    <t>AV0457 Jan 09</t>
  </si>
  <si>
    <t>AV8396 Jan 10</t>
  </si>
  <si>
    <t>COOLBAG</t>
  </si>
  <si>
    <t>26-006 SAB</t>
  </si>
  <si>
    <t>26-036C</t>
  </si>
  <si>
    <t>26-023A</t>
  </si>
  <si>
    <t>CEC2026AV000012-0003-0000</t>
  </si>
  <si>
    <t>CEC2026AV000014-0001-0000</t>
  </si>
  <si>
    <t>CEC2026LR000006-0001-0000</t>
  </si>
  <si>
    <t>CEC20262K000021-0002-0000</t>
  </si>
  <si>
    <t>20230613262</t>
  </si>
  <si>
    <t>26-037A</t>
  </si>
  <si>
    <t>03116</t>
  </si>
  <si>
    <t>CONTAC CLEANER</t>
  </si>
  <si>
    <t>26-038C</t>
  </si>
  <si>
    <t>CEC2026AV000015-0003-0000</t>
  </si>
  <si>
    <t>AV8377 Jan 11</t>
  </si>
  <si>
    <t>AV0457 Jan 10</t>
  </si>
  <si>
    <t>CEC20262K000022-0001-0000</t>
  </si>
  <si>
    <t xml:space="preserve">TAPA TERMO PARA CAFE </t>
  </si>
  <si>
    <t>TERMO METALICO PARA CAFÉ</t>
  </si>
  <si>
    <t>CEC2026LR000007-0002-0000</t>
  </si>
  <si>
    <t>CEC2026LR000007-0001-0000</t>
  </si>
  <si>
    <t>CEC2026LR000007-0003-0000</t>
  </si>
  <si>
    <t>CEC20262K000023-0002-0000</t>
  </si>
  <si>
    <t>CEC20262K000023-0005-0000</t>
  </si>
  <si>
    <t>CEC2026QT000012-0018-0000</t>
  </si>
  <si>
    <t>CEC2026AV000017-0001-0000</t>
  </si>
  <si>
    <t>CEC2026QT000011-0020-0000</t>
  </si>
  <si>
    <t>CEC2026QT000011-0019-0000</t>
  </si>
  <si>
    <t>CEC2026QT000011-0018-0000</t>
  </si>
  <si>
    <t>26-019 MIA</t>
  </si>
  <si>
    <t>CEC20262K000024-0001-0000</t>
  </si>
  <si>
    <t>05520267500044569</t>
  </si>
  <si>
    <t xml:space="preserve">05520267500044479 </t>
  </si>
  <si>
    <t>05520267500043813</t>
  </si>
  <si>
    <t>05520267500043741</t>
  </si>
  <si>
    <t>05520267500043654</t>
  </si>
  <si>
    <t>05520267500043553</t>
  </si>
  <si>
    <t>05520267500043445</t>
  </si>
  <si>
    <t>05520267500043337</t>
  </si>
  <si>
    <t>05520267500043108</t>
  </si>
  <si>
    <t>05520267500044981</t>
  </si>
  <si>
    <t>26-039A</t>
  </si>
  <si>
    <t>26-040A</t>
  </si>
  <si>
    <t>AV0117 Jan 11</t>
  </si>
  <si>
    <t>AV8377 Jan 12</t>
  </si>
  <si>
    <t>C26-004 SAB</t>
  </si>
  <si>
    <t>C26-005</t>
  </si>
  <si>
    <t>26EX-031</t>
  </si>
  <si>
    <t>26EX-030</t>
  </si>
  <si>
    <t>26EX-029</t>
  </si>
  <si>
    <t>26EX-028</t>
  </si>
  <si>
    <t>26EX-027</t>
  </si>
  <si>
    <t>AUTOMATICO, EN PROCESO DE DESPACHO</t>
  </si>
  <si>
    <t>26-041A</t>
  </si>
  <si>
    <t>DUPLICAR TRÁMITE</t>
  </si>
  <si>
    <t>C26-003 2K</t>
  </si>
  <si>
    <t>05520266000045245</t>
  </si>
  <si>
    <t>05520266000045021</t>
  </si>
  <si>
    <t>05520266000045007</t>
  </si>
  <si>
    <t>05520266000044997</t>
  </si>
  <si>
    <t>05520266000044990</t>
  </si>
  <si>
    <t>05520267500048656</t>
  </si>
  <si>
    <t>05520267500048119</t>
  </si>
  <si>
    <t>26-018 MIA</t>
  </si>
  <si>
    <t>05520267500047970</t>
  </si>
  <si>
    <t>05520267500047675</t>
  </si>
  <si>
    <t>05520267500047523</t>
  </si>
  <si>
    <t>CEC2026QT000013-0012-0000</t>
  </si>
  <si>
    <t>CEC2026QT000013-0011-0000</t>
  </si>
  <si>
    <t>CEC2026QT000013-0009-0000</t>
  </si>
  <si>
    <t>CEC2026QT000013-0010-0000</t>
  </si>
  <si>
    <t>26-042A</t>
  </si>
  <si>
    <t>26-043A</t>
  </si>
  <si>
    <t>05520267500047255</t>
  </si>
  <si>
    <t>05520267500047223</t>
  </si>
  <si>
    <t>05520267500046966</t>
  </si>
  <si>
    <t>AUTOMATICO, ENTREGADO</t>
  </si>
  <si>
    <t>26-044C</t>
  </si>
  <si>
    <t>FISICO - SALIDA AUTORIZADA</t>
  </si>
  <si>
    <t>DOCUMENTAL - SALIDA AUTORIZADA</t>
  </si>
  <si>
    <t>26EX-032</t>
  </si>
  <si>
    <t>26EX-036</t>
  </si>
  <si>
    <t>26EX-037</t>
  </si>
  <si>
    <t>26EX-035</t>
  </si>
  <si>
    <t>26EX-034</t>
  </si>
  <si>
    <t>26EX-033</t>
  </si>
  <si>
    <t>05520267500051875</t>
  </si>
  <si>
    <t>CEC20262K000027-0001-0000</t>
  </si>
  <si>
    <t>CEC20262K000027-0002-0000</t>
  </si>
  <si>
    <t>05520266000053053</t>
  </si>
  <si>
    <t>05520266000053092</t>
  </si>
  <si>
    <t>05520266000053113</t>
  </si>
  <si>
    <t>05520266000053142</t>
  </si>
  <si>
    <t xml:space="preserve">05520266000053175 </t>
  </si>
  <si>
    <t>05520261000054132</t>
  </si>
  <si>
    <t xml:space="preserve">AV8377 Jan 13 </t>
  </si>
  <si>
    <t>AV8396 Jan 14</t>
  </si>
  <si>
    <t>AV0117 Jan 14</t>
  </si>
  <si>
    <t>26-046A</t>
  </si>
  <si>
    <t>279-1100 2235</t>
  </si>
  <si>
    <t>Comail 26-001 JB</t>
  </si>
  <si>
    <t>26-021 MIA</t>
  </si>
  <si>
    <t>26-020 MIA</t>
  </si>
  <si>
    <t>05520267500057497</t>
  </si>
  <si>
    <t>05520267500057098</t>
  </si>
  <si>
    <t>05520267500056918</t>
  </si>
  <si>
    <t>CEC20262K000030-0003-0000</t>
  </si>
  <si>
    <t>CEC20262K000030-0002-0000</t>
  </si>
  <si>
    <t>CEC20262K000030-0001-0000</t>
  </si>
  <si>
    <t>CEC2026AV000018-0001-0000</t>
  </si>
  <si>
    <t>SALIDA AUTORIZADA</t>
  </si>
  <si>
    <t>26-047A</t>
  </si>
  <si>
    <t>26-048B</t>
  </si>
  <si>
    <t>C26-006</t>
  </si>
  <si>
    <t>26-049B</t>
  </si>
  <si>
    <t>26-050A</t>
  </si>
  <si>
    <t>26EX-041</t>
  </si>
  <si>
    <t>26EX-040</t>
  </si>
  <si>
    <t>26EX-039</t>
  </si>
  <si>
    <t>26EX-038</t>
  </si>
  <si>
    <t>05520266000060560</t>
  </si>
  <si>
    <t>05520266000060496</t>
  </si>
  <si>
    <t>05520266000060427</t>
  </si>
  <si>
    <t>05520266000060310</t>
  </si>
  <si>
    <t>AV0457 Jan 13</t>
  </si>
  <si>
    <t>AV8373 Jan 14</t>
  </si>
  <si>
    <t>AV0159 Jan 15</t>
  </si>
  <si>
    <t>26-051C</t>
  </si>
  <si>
    <t>26-053A</t>
  </si>
  <si>
    <t>26-055A</t>
  </si>
  <si>
    <t>05520267500063006</t>
  </si>
  <si>
    <t>05520261000055624</t>
  </si>
  <si>
    <t>05520261000054220</t>
  </si>
  <si>
    <t>AV8377 Jan 15</t>
  </si>
  <si>
    <t>fo</t>
  </si>
  <si>
    <t>05520267500069346</t>
  </si>
  <si>
    <t>05520267500069347</t>
  </si>
  <si>
    <t>05520267500069365</t>
  </si>
  <si>
    <t>05520267500069742</t>
  </si>
  <si>
    <t>CEC20262K000035-0009-0000</t>
  </si>
  <si>
    <t>CEC20262K000035-0008-0000</t>
  </si>
  <si>
    <t>CEC20262K000035-0007-0000</t>
  </si>
  <si>
    <t>CEC20262K000035-0006-0000</t>
  </si>
  <si>
    <t>CEC20262K000034-0002-0000</t>
  </si>
  <si>
    <t>CEC20262K000034-0004-0000</t>
  </si>
  <si>
    <t>CEC20262K000034-0003-0000</t>
  </si>
  <si>
    <t>CEC20262K000034-0001-0000</t>
  </si>
  <si>
    <t>CEC2026AV000020-0002-0000</t>
  </si>
  <si>
    <t>26EX-042</t>
  </si>
  <si>
    <t>26EX-044</t>
  </si>
  <si>
    <t>05520266000069062</t>
  </si>
  <si>
    <t>26EX-048</t>
  </si>
  <si>
    <t>26EX-047</t>
  </si>
  <si>
    <t>26EX-046</t>
  </si>
  <si>
    <t>26EX-045</t>
  </si>
  <si>
    <t>AV0457 Jan 15</t>
  </si>
  <si>
    <t>AV0125 Jan 15</t>
  </si>
  <si>
    <t>26-060C</t>
  </si>
  <si>
    <t>26-025 MIA</t>
  </si>
  <si>
    <t>26-024 MIA</t>
  </si>
  <si>
    <t>CEC2026AV000022-0002-0000</t>
  </si>
  <si>
    <t>CEC2026LR000009-0002-0000</t>
  </si>
  <si>
    <t>CEC2026LR000009-0001-0000</t>
  </si>
  <si>
    <t>CEC20262K000038-0003-0000</t>
  </si>
  <si>
    <t>CEC2026QT000019-0003-0000</t>
  </si>
  <si>
    <t>CEC2026QT000019-0002-0000</t>
  </si>
  <si>
    <t>CEC2026QT000019-0001-0000</t>
  </si>
  <si>
    <t>CEC20262K000037-0002-0000</t>
  </si>
  <si>
    <t>26EX-050</t>
  </si>
  <si>
    <t>05520266000074101</t>
  </si>
  <si>
    <t>26EX-057</t>
  </si>
  <si>
    <t>05520266000074096</t>
  </si>
  <si>
    <t>05520266000074092</t>
  </si>
  <si>
    <t>26EX-056</t>
  </si>
  <si>
    <t>26EX-055</t>
  </si>
  <si>
    <t>05520266000074082</t>
  </si>
  <si>
    <t>26EX-054</t>
  </si>
  <si>
    <t>26EX-053</t>
  </si>
  <si>
    <t>05520266000074053</t>
  </si>
  <si>
    <t>26EX-052</t>
  </si>
  <si>
    <t>05520266000074044</t>
  </si>
  <si>
    <t>26EX-051</t>
  </si>
  <si>
    <t>05520266000074039</t>
  </si>
  <si>
    <t>26EX-049</t>
  </si>
  <si>
    <t>05520266000074034</t>
  </si>
  <si>
    <t>QT4031 Jan 15</t>
  </si>
  <si>
    <t>AV8373 Jan 15</t>
  </si>
  <si>
    <t>AV8396 Jan 16</t>
  </si>
  <si>
    <t>05520267500075934</t>
  </si>
  <si>
    <t>05520267500075455</t>
  </si>
  <si>
    <t>05520266000074073</t>
  </si>
  <si>
    <t>26-009 SAB</t>
  </si>
  <si>
    <t>EN PROCESO DE DESPACHO</t>
  </si>
  <si>
    <t>INV FEBRERO  2026</t>
  </si>
  <si>
    <t xml:space="preserve">INDICADORES </t>
  </si>
  <si>
    <t>GESTOR AMBIENTAL G&amp;M</t>
  </si>
  <si>
    <t>GUIA3</t>
  </si>
  <si>
    <t>26-082A</t>
  </si>
  <si>
    <t>26M-014 FX</t>
  </si>
  <si>
    <t>26-098A</t>
  </si>
  <si>
    <t>26M-015 SAB</t>
  </si>
  <si>
    <t>FO*</t>
  </si>
  <si>
    <t>VI</t>
  </si>
  <si>
    <t>NV</t>
  </si>
  <si>
    <t>CUCHILLO ACERO INOX BC</t>
  </si>
  <si>
    <t>TOALLA CALIENTE YC</t>
  </si>
  <si>
    <t>DC</t>
  </si>
  <si>
    <t>FALTÓ</t>
  </si>
  <si>
    <t>26-108A</t>
  </si>
  <si>
    <t>26EX-104</t>
  </si>
  <si>
    <t>26-112A</t>
  </si>
  <si>
    <t>CEC2026LR000016-0001-0000</t>
  </si>
  <si>
    <t>AV0125 Jan 29</t>
  </si>
  <si>
    <t>26-113A</t>
  </si>
  <si>
    <t>05520261000168515</t>
  </si>
  <si>
    <t>26EX-105</t>
  </si>
  <si>
    <t>ADELANTAR DIGITACION (REQUIERE LICENCIA)</t>
  </si>
  <si>
    <t>26-114A</t>
  </si>
  <si>
    <t>26-115A</t>
  </si>
  <si>
    <t>ENVIO CANCELADO</t>
  </si>
  <si>
    <t>C26-012</t>
  </si>
  <si>
    <t>05520261000173727</t>
  </si>
  <si>
    <t>CEC2026AV000044-0002-0000</t>
  </si>
  <si>
    <t>C26--014</t>
  </si>
  <si>
    <t>26-116A</t>
  </si>
  <si>
    <t>26-074 MIA</t>
  </si>
  <si>
    <t>26-076 MIA</t>
  </si>
  <si>
    <t>26EX-107</t>
  </si>
  <si>
    <t>26EX-112</t>
  </si>
  <si>
    <t>26EX-111</t>
  </si>
  <si>
    <t>26EX-110</t>
  </si>
  <si>
    <t>26EX-109</t>
  </si>
  <si>
    <t>26EX-108</t>
  </si>
  <si>
    <t>26EX-106</t>
  </si>
  <si>
    <t>manejo via MIAMI</t>
  </si>
  <si>
    <t>26-118C</t>
  </si>
  <si>
    <t>26-073 MIA</t>
  </si>
  <si>
    <t>26-079 MIA</t>
  </si>
  <si>
    <t>26-078 MIA</t>
  </si>
  <si>
    <t>26-077 MIA</t>
  </si>
  <si>
    <t>26-072 MIA</t>
  </si>
  <si>
    <t>CEC2026QT000047-0005-0000</t>
  </si>
  <si>
    <t>MIA-UIO QT4041 Feb 01</t>
  </si>
  <si>
    <t>MIA-UIO QT4245 Jan 31</t>
  </si>
  <si>
    <t>BOG-UIO AV8396 Jan 31</t>
  </si>
  <si>
    <t>SAL-UIO AV0457 Jan 31</t>
  </si>
  <si>
    <t>BOG-MIA XXXXXXXXXXXX</t>
  </si>
  <si>
    <t>MIA-UIO QT4037 Jan 31</t>
  </si>
  <si>
    <t>BOG-UIO AV0117 Jan 31</t>
  </si>
  <si>
    <t>0000007702</t>
  </si>
  <si>
    <t>0000577610</t>
  </si>
  <si>
    <t>0012105491</t>
  </si>
  <si>
    <t>0537482780</t>
  </si>
  <si>
    <t>0000207755</t>
  </si>
  <si>
    <t>0010421107</t>
  </si>
  <si>
    <t>0000364435</t>
  </si>
  <si>
    <t>0000363691</t>
  </si>
  <si>
    <t>status</t>
  </si>
  <si>
    <t>54093896</t>
  </si>
  <si>
    <t>32003325</t>
  </si>
  <si>
    <t>viaje</t>
  </si>
  <si>
    <t>0000245668</t>
  </si>
  <si>
    <t>feb</t>
  </si>
  <si>
    <t>marz</t>
  </si>
  <si>
    <t>abril</t>
  </si>
  <si>
    <t>may</t>
  </si>
  <si>
    <t>jun</t>
  </si>
  <si>
    <t>jul</t>
  </si>
  <si>
    <t>ago</t>
  </si>
  <si>
    <t>sep</t>
  </si>
  <si>
    <t>oct</t>
  </si>
  <si>
    <t>nov</t>
  </si>
  <si>
    <t>dic</t>
  </si>
  <si>
    <t>05520267500185257</t>
  </si>
  <si>
    <t>CEC2026LR000019-0001-0000</t>
  </si>
  <si>
    <t>CEC2026QT000049-0002-0000</t>
  </si>
  <si>
    <t>CEC2026QT000050-0021-0000</t>
  </si>
  <si>
    <t>CEC20262K000081-0001-0000</t>
  </si>
  <si>
    <t>CEC2026QT000049-0004-0000</t>
  </si>
  <si>
    <t>CEC2026QT000049-0003-0000</t>
  </si>
  <si>
    <t>CEC2026QT000049-0001-0000</t>
  </si>
  <si>
    <t>CEC2026QT000049-0005-0000</t>
  </si>
  <si>
    <t>CEC2026AV000047-0005-0000</t>
  </si>
  <si>
    <t>MIA-UIO AV8396 Feb 01</t>
  </si>
  <si>
    <t>BOG-UIO XXXXXXXXXXXX</t>
  </si>
  <si>
    <t>Solicitud de creación</t>
  </si>
  <si>
    <t>05520267500187839</t>
  </si>
  <si>
    <t>05520267500186398</t>
  </si>
  <si>
    <t>05520267500186574</t>
  </si>
  <si>
    <t>05520267500187187</t>
  </si>
  <si>
    <t>05520267500186938</t>
  </si>
  <si>
    <t>05520267500187211</t>
  </si>
  <si>
    <t>05520267500186530</t>
  </si>
  <si>
    <t>001GYE</t>
  </si>
  <si>
    <t>PENDIENTE CREACION SHIPMENT</t>
  </si>
  <si>
    <t>MIA-UIO QT4231 Jan 30</t>
  </si>
  <si>
    <t>26-080 MIA</t>
  </si>
  <si>
    <t>26-082 MIA</t>
  </si>
  <si>
    <t xml:space="preserve"> SENAE-JCZQ-2026-0017-PV</t>
  </si>
  <si>
    <t>26-103A%</t>
  </si>
  <si>
    <t>05520267500192061</t>
  </si>
  <si>
    <t>05520267500192717</t>
  </si>
  <si>
    <t>05520267500189954</t>
  </si>
  <si>
    <t>05520267500192560</t>
  </si>
  <si>
    <t>CEC20262K000084-0002-0000</t>
  </si>
  <si>
    <t>CEC2026QT000051-0002-0000</t>
  </si>
  <si>
    <t>05520267500192273</t>
  </si>
  <si>
    <t>26-120C</t>
  </si>
  <si>
    <t>26-081 MIA</t>
  </si>
  <si>
    <t>05520266000185305</t>
  </si>
  <si>
    <t>05520266000185302</t>
  </si>
  <si>
    <t>05520266000185296</t>
  </si>
  <si>
    <t>05520266000185295</t>
  </si>
  <si>
    <t>05520266000185264</t>
  </si>
  <si>
    <t>05520266000185258</t>
  </si>
  <si>
    <t>05520266000185248</t>
  </si>
  <si>
    <t>05520266000171043</t>
  </si>
  <si>
    <t>26EX-118</t>
  </si>
  <si>
    <t>26EX-117</t>
  </si>
  <si>
    <t>26EX-116</t>
  </si>
  <si>
    <t>26EX-113</t>
  </si>
  <si>
    <t>26EX-114</t>
  </si>
  <si>
    <t>BOG-UIO QT4031 Feb 02</t>
  </si>
  <si>
    <t xml:space="preserve">05520266000195274 </t>
  </si>
  <si>
    <t>05520266000195236</t>
  </si>
  <si>
    <t>05520266000195172</t>
  </si>
  <si>
    <t>05520266000195129</t>
  </si>
  <si>
    <t>MIA-UIO QT4251 Feb 03</t>
  </si>
  <si>
    <t>MIA-UIO QT4035 Feb 03</t>
  </si>
  <si>
    <t>SAL-UIO AV0457 Feb 03</t>
  </si>
  <si>
    <t>BOG-UIO AV8377 Jan 31</t>
  </si>
  <si>
    <t>BOG-UIO AV0159 Jan 31</t>
  </si>
  <si>
    <t>SAL-UIO AV0457 Jan 28</t>
  </si>
  <si>
    <t>C26-011</t>
  </si>
  <si>
    <t>SENAE-JCZQ-2026-0018-PV</t>
  </si>
  <si>
    <t>26-083 MIA</t>
  </si>
  <si>
    <t>26-012 SAB</t>
  </si>
  <si>
    <t xml:space="preserve"> MINI PAN DE YUCA</t>
  </si>
  <si>
    <t>MINI PALITOS DE QUESO</t>
  </si>
  <si>
    <t>MAIZ MANTEQUILLA MIEL ALCAGÜETE 20G</t>
  </si>
  <si>
    <t>CHOCOLATINA JET CHOCOLATE CON LECHE</t>
  </si>
  <si>
    <t>AREQUIPE</t>
  </si>
  <si>
    <t>JUGUETE: AVIONCITO NIÑOS AVIANCA COLOMBIA</t>
  </si>
  <si>
    <t>Mini Pandeyucas 15g</t>
  </si>
  <si>
    <t>Mini Palitos de Queso 20g</t>
  </si>
  <si>
    <t>CHIPS LIMONADA DE COCO ALCAGÜETE 20G</t>
  </si>
  <si>
    <t>Jet Burbujas 14g</t>
  </si>
  <si>
    <t>Coffee Delight 3,8g</t>
  </si>
  <si>
    <t>Barras de Cereal sin azúcar añadida frutos rojos 25g</t>
  </si>
  <si>
    <t>Mezcla Frutos Secos parche Mix 30g</t>
  </si>
  <si>
    <t>LC*</t>
  </si>
  <si>
    <t>CEC20262K000080-0002-0000</t>
  </si>
  <si>
    <t>CEC2026AV000046-0002-0000</t>
  </si>
  <si>
    <t>CEC2026AV000046-0001-0000</t>
  </si>
  <si>
    <t>26-119A%</t>
  </si>
  <si>
    <t>WFH</t>
  </si>
  <si>
    <t>OFIC</t>
  </si>
  <si>
    <t>DOCUMENTAL/ ENTREGADO</t>
  </si>
  <si>
    <t>entregado</t>
  </si>
  <si>
    <t>26-122C</t>
  </si>
  <si>
    <t>05520266000203231</t>
  </si>
  <si>
    <t>26EX-119</t>
  </si>
  <si>
    <t>26EX-120</t>
  </si>
  <si>
    <t>26EX-123</t>
  </si>
  <si>
    <t>MIA-UIO AV8377 Feb 04</t>
  </si>
  <si>
    <t>BOG-UIO QT4235 Feb 07</t>
  </si>
  <si>
    <t>26-013 SAB</t>
  </si>
  <si>
    <t>017777932026JT000001P</t>
  </si>
  <si>
    <t>017777932026JT000002P</t>
  </si>
  <si>
    <t>017777932026JT000003P</t>
  </si>
  <si>
    <t>05520267500205540</t>
  </si>
  <si>
    <t>05520267500206454</t>
  </si>
  <si>
    <t>CEC2026LR000021-0001-0000</t>
  </si>
  <si>
    <t>CEC2026QT000055-0010-0000</t>
  </si>
  <si>
    <t>EXPORTACIÓN</t>
  </si>
  <si>
    <t>26-089 MIA</t>
  </si>
  <si>
    <t>26-085 MIA</t>
  </si>
  <si>
    <t>26-084 MIA</t>
  </si>
  <si>
    <t>26-086 MIA</t>
  </si>
  <si>
    <t>26M-003 QT</t>
  </si>
  <si>
    <t>26-087 MIA</t>
  </si>
  <si>
    <t>26-088 MIA</t>
  </si>
  <si>
    <t>REEMBARQUE</t>
  </si>
  <si>
    <t>05520267500208583</t>
  </si>
  <si>
    <t>CEC20262K000091-0005-0000</t>
  </si>
  <si>
    <t>PENDIENTE PROVIDENCIA DE SALIDA A.RIVADENEIRA</t>
  </si>
  <si>
    <t>MIA-UIO QT4037 Feb 04</t>
  </si>
  <si>
    <t xml:space="preserve">MIA-UIO AV8373 Feb 04 </t>
  </si>
  <si>
    <t>GUA-UIO QT4141 Feb 12</t>
  </si>
  <si>
    <t>BOG-GYE AV8383 Jan 29</t>
  </si>
  <si>
    <t>26EX-122 GYE</t>
  </si>
  <si>
    <t>POR INGRESAR A LA PALETIZADORA GYE-MIA</t>
  </si>
  <si>
    <t>26-121C</t>
  </si>
  <si>
    <t>INDICADORES SOLITUD CREACION IMPO</t>
  </si>
  <si>
    <t>INDICADORES SOLITUD CREACION EXPO</t>
  </si>
  <si>
    <t>REGULARIZACION</t>
  </si>
  <si>
    <t>DESTRUCCION DIANA LATORRE</t>
  </si>
  <si>
    <t>INVENTARIO ANDRES AV</t>
  </si>
  <si>
    <t>25EX-1325</t>
  </si>
  <si>
    <t>26EX-131</t>
  </si>
  <si>
    <t>26EX-128</t>
  </si>
  <si>
    <t>26EX-127</t>
  </si>
  <si>
    <t>26EX-125</t>
  </si>
  <si>
    <t>26EX-130</t>
  </si>
  <si>
    <t>26EX-129</t>
  </si>
  <si>
    <t>SAL-UIO AV0457 Feb 05</t>
  </si>
  <si>
    <t>MIA-UIO AV8373 Feb 04</t>
  </si>
  <si>
    <t>MIA-UIO QT4235 Feb 05</t>
  </si>
  <si>
    <t>05520267500211527</t>
  </si>
  <si>
    <t>CEC20262K000092-0005-0000</t>
  </si>
  <si>
    <t>AUTOMATICO</t>
  </si>
  <si>
    <t>26-123G</t>
  </si>
  <si>
    <t>SN</t>
  </si>
  <si>
    <t>SN1</t>
  </si>
  <si>
    <t>SN2</t>
  </si>
  <si>
    <t>SN3</t>
  </si>
  <si>
    <t>Columna1</t>
  </si>
  <si>
    <t>CED</t>
  </si>
  <si>
    <t>CAMBIO DE DESTINO MIA - SNACKS</t>
  </si>
  <si>
    <t>Destrucción</t>
  </si>
  <si>
    <t>Régimen.40</t>
  </si>
  <si>
    <t>Régimen 75</t>
  </si>
  <si>
    <t>Régimen 10</t>
  </si>
  <si>
    <t>Régimen 87</t>
  </si>
  <si>
    <t>Régimen 60</t>
  </si>
  <si>
    <t>Importación</t>
  </si>
  <si>
    <t>General</t>
  </si>
  <si>
    <t>RÉGIMEN 75</t>
  </si>
  <si>
    <t>RÉGIMEN 10</t>
  </si>
  <si>
    <t>RÉGIMEN 60</t>
  </si>
  <si>
    <t>CEC2026QT000057-0014-0000</t>
  </si>
  <si>
    <t>CEC2026LR000022-0001-0000</t>
  </si>
  <si>
    <t>26-090 MIA</t>
  </si>
  <si>
    <t>05520267500213710</t>
  </si>
  <si>
    <t>05520267500213776</t>
  </si>
  <si>
    <t>26-124C</t>
  </si>
  <si>
    <t>2026-02-05-010928</t>
  </si>
  <si>
    <t>D25AO72QT</t>
  </si>
  <si>
    <t>05520266000210571</t>
  </si>
  <si>
    <t>05520266000210565</t>
  </si>
  <si>
    <t>05520266000210554</t>
  </si>
  <si>
    <t>05520266000210550</t>
  </si>
  <si>
    <t>05520266000210524</t>
  </si>
  <si>
    <t>05520266000210511</t>
  </si>
  <si>
    <t>05520266000210504</t>
  </si>
  <si>
    <t>*H06 Nombre de la mercancia</t>
  </si>
  <si>
    <t>*H09 Tipo</t>
  </si>
  <si>
    <t>*H12 Clase</t>
  </si>
  <si>
    <t>*H42 Marca Comercial</t>
  </si>
  <si>
    <t>*H13 Modelo</t>
  </si>
  <si>
    <t>*H15 Otras caracteristicas</t>
  </si>
  <si>
    <t>material</t>
  </si>
  <si>
    <t>LICOR</t>
  </si>
  <si>
    <t>OTROS LICORES</t>
  </si>
  <si>
    <t>RON</t>
  </si>
  <si>
    <t>ZACAPA CENTENARIO</t>
  </si>
  <si>
    <t>1000 ML</t>
  </si>
  <si>
    <t>SOLERA GRAN RESERVA</t>
  </si>
  <si>
    <t xml:space="preserve"> ZACAPA 23YO 6/100/40/GBX/RSF</t>
  </si>
  <si>
    <t>1905.90.90.00</t>
  </si>
  <si>
    <t>1704.10.10.00</t>
  </si>
  <si>
    <t>1806.31.00.00</t>
  </si>
  <si>
    <t>1901.90.20.00 </t>
  </si>
  <si>
    <t>9503.00.30.00</t>
  </si>
  <si>
    <t>2008.11.90.00 </t>
  </si>
  <si>
    <t>1704.90.90.00</t>
  </si>
  <si>
    <t>1904.20.00.00 </t>
  </si>
  <si>
    <t>2008.19.90.00 </t>
  </si>
  <si>
    <t>C26-013</t>
  </si>
  <si>
    <t>26-014 SAB</t>
  </si>
  <si>
    <t>GRADOS ALCOHOL</t>
  </si>
  <si>
    <t>WISKY</t>
  </si>
  <si>
    <t>05520267500214863</t>
  </si>
  <si>
    <t xml:space="preserve">05520267500214925 </t>
  </si>
  <si>
    <t>CEC2026QT000058-0004-0000</t>
  </si>
  <si>
    <t>CEC2026QT000058-0003-0000</t>
  </si>
  <si>
    <t>MIA-UIO QT4033 Feb 06</t>
  </si>
  <si>
    <t>MIA-UIO AV8377Feb 06</t>
  </si>
  <si>
    <t>REEMBARQUE GYE/ PENDIENTE CARGA DE RESERVA</t>
  </si>
  <si>
    <t>REEMBARQUE UIO - PENDIENTE ASIGNACION DE FUNCIONARIO</t>
  </si>
  <si>
    <t>PENDIENTE CERTIFICADO GESTOR</t>
  </si>
  <si>
    <t>PENDIENTE INSPECCION UIO- DIANA LATORRE</t>
  </si>
  <si>
    <t>OFI</t>
  </si>
  <si>
    <t>MIA-UIOQT4133 Feb 05</t>
  </si>
  <si>
    <t>05520267500216685</t>
  </si>
  <si>
    <t>05520267500216735</t>
  </si>
  <si>
    <t>05520267500216708</t>
  </si>
  <si>
    <t>26EX-132</t>
  </si>
  <si>
    <t>05520266000216255</t>
  </si>
  <si>
    <t>26EX-133</t>
  </si>
  <si>
    <t>05520266000216256</t>
  </si>
  <si>
    <t>26EX-126</t>
  </si>
  <si>
    <t>05520266000216260</t>
  </si>
  <si>
    <t>26EX-134</t>
  </si>
  <si>
    <t xml:space="preserve">05520266000216273 </t>
  </si>
  <si>
    <t>POR INGRESAR A LA PALETIZADORA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</si>
</sst>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F800]dddd\,\ mmmm\ dd\,\ yyyy"/>
  </numFmts>
  <fonts count="26" x14ac:knownFonts="1">
    <font>
      <sz val="11"/>
      <color theme="1"/>
      <name val="Aptos Narrow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9"/>
      <color rgb="FF000000"/>
      <name val="Aptos"/>
      <family val="2"/>
    </font>
    <font>
      <sz val="8"/>
      <name val="Aptos Narrow"/>
      <family val="2"/>
      <scheme val="minor"/>
    </font>
    <font>
      <b/>
      <sz val="8"/>
      <color rgb="FFFFFFFF"/>
      <name val="Aptos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9"/>
      <name val="Aptos"/>
      <family val="2"/>
    </font>
    <font>
      <b/>
      <sz val="9"/>
      <color theme="1"/>
      <name val="Aptos"/>
      <family val="2"/>
    </font>
    <font>
      <b/>
      <sz val="10"/>
      <color rgb="FFFFFFFF"/>
      <name val="Calibri"/>
      <family val="2"/>
    </font>
    <font>
      <sz val="11"/>
      <color indexed="8"/>
      <name val="Aptos Narrow"/>
      <family val="2"/>
      <scheme val="minor"/>
    </font>
    <font>
      <b/>
      <sz val="16"/>
      <color theme="1"/>
      <name val="Aptos"/>
      <family val="2"/>
    </font>
    <font>
      <sz val="9"/>
      <color rgb="FF242424"/>
      <name val="Aptos"/>
      <family val="2"/>
    </font>
    <font>
      <sz val="9"/>
      <color rgb="FFFF0000"/>
      <name val="Arial"/>
      <family val="2"/>
    </font>
    <font>
      <sz val="6"/>
      <color rgb="FFFFFFFF"/>
      <name val="Aptos"/>
      <family val="2"/>
    </font>
    <font>
      <b/>
      <sz val="9"/>
      <color rgb="FFED0000"/>
      <name val="Aptos"/>
      <family val="2"/>
    </font>
    <font>
      <b/>
      <sz val="9"/>
      <name val="Aptos"/>
      <family val="2"/>
    </font>
    <font>
      <sz val="9"/>
      <color rgb="FFED0000"/>
      <name val="Aptos"/>
      <family val="2"/>
    </font>
    <font>
      <sz val="9"/>
      <color theme="3" tint="0.249977111117893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9"/>
      <color theme="1"/>
      <name val="Aptos"/>
    </font>
    <font>
      <b/>
      <sz val="9"/>
      <name val="Aptos"/>
    </font>
    <font>
      <u/>
      <sz val="9"/>
      <name val="Aptos"/>
      <family val="2"/>
    </font>
  </fonts>
  <fills count="25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499984740745262"/>
        <bgColor rgb="FFC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E1"/>
      </patternFill>
    </fill>
    <fill>
      <patternFill patternType="solid">
        <fgColor theme="9" tint="0.79998168889431442"/>
        <bgColor rgb="FFFFFFE1"/>
      </patternFill>
    </fill>
    <fill>
      <patternFill patternType="solid">
        <fgColor rgb="FFFFFF00"/>
        <bgColor theme="0"/>
      </patternFill>
    </fill>
    <fill>
      <patternFill patternType="solid">
        <fgColor rgb="FFFFFFD5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FFFF00"/>
        <bgColor rgb="FFFFFFE1"/>
      </patternFill>
    </fill>
    <fill>
      <patternFill patternType="solid">
        <fgColor theme="0"/>
        <bgColor rgb="FFFFFFE1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FFFFEF"/>
        <bgColor indexed="64"/>
      </patternFill>
    </fill>
    <fill>
      <patternFill patternType="solid">
        <fgColor rgb="FFFFFFEF"/>
        <bgColor theme="0"/>
      </patternFill>
    </fill>
    <fill>
      <patternFill patternType="solid">
        <fgColor rgb="FFEFF9EB"/>
        <bgColor indexed="64"/>
      </patternFill>
    </fill>
    <fill>
      <patternFill patternType="solid">
        <fgColor rgb="FFFDEEE7"/>
        <bgColor indexed="64"/>
      </patternFill>
    </fill>
    <fill>
      <patternFill patternType="solid">
        <fgColor theme="0"/>
        <bgColor rgb="FFC00000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thin">
        <color rgb="FF8EA9DB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3">
    <xf numFmtId="0" fontId="0" fillId="0" borderId="0"/>
    <xf numFmtId="0" fontId="12" fillId="0" borderId="0"/>
    <xf numFmtId="44" fontId="21" fillId="0" borderId="0" applyFont="0" applyFill="0" applyBorder="0" applyAlignment="0" applyProtection="0"/>
  </cellStyleXfs>
  <cellXfs count="146">
    <xf numFmtId="0" fontId="0" fillId="0" borderId="0" xfId="0"/>
    <xf numFmtId="0" fontId="7" fillId="0" borderId="0" xfId="0" applyFont="1"/>
    <xf numFmtId="49" fontId="7" fillId="5" borderId="0" xfId="0" applyNumberFormat="1" applyFont="1" applyFill="1" applyAlignment="1">
      <alignment horizontal="right"/>
    </xf>
    <xf numFmtId="0" fontId="7" fillId="5" borderId="0" xfId="0" applyFont="1" applyFill="1"/>
    <xf numFmtId="49" fontId="7" fillId="8" borderId="0" xfId="0" applyNumberFormat="1" applyFont="1" applyFill="1" applyAlignment="1">
      <alignment horizontal="right"/>
    </xf>
    <xf numFmtId="0" fontId="7" fillId="8" borderId="0" xfId="0" applyFont="1" applyFill="1"/>
    <xf numFmtId="49" fontId="7" fillId="0" borderId="0" xfId="0" applyNumberFormat="1" applyFont="1" applyAlignment="1">
      <alignment horizontal="right"/>
    </xf>
    <xf numFmtId="0" fontId="6" fillId="0" borderId="0" xfId="0" applyFont="1"/>
    <xf numFmtId="49" fontId="7" fillId="3" borderId="0" xfId="0" applyNumberFormat="1" applyFont="1" applyFill="1" applyAlignment="1">
      <alignment horizontal="right"/>
    </xf>
    <xf numFmtId="49" fontId="6" fillId="3" borderId="0" xfId="0" applyNumberFormat="1" applyFont="1" applyFill="1" applyAlignment="1">
      <alignment horizontal="right"/>
    </xf>
    <xf numFmtId="0" fontId="6" fillId="3" borderId="0" xfId="0" applyFont="1" applyFill="1"/>
    <xf numFmtId="0" fontId="7" fillId="3" borderId="0" xfId="0" applyFont="1" applyFill="1"/>
    <xf numFmtId="0" fontId="6" fillId="0" borderId="0" xfId="0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7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2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22" fontId="1" fillId="0" borderId="1" xfId="0" applyNumberFormat="1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9" fontId="1" fillId="9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vertical="center"/>
    </xf>
    <xf numFmtId="20" fontId="3" fillId="12" borderId="1" xfId="0" applyNumberFormat="1" applyFont="1" applyFill="1" applyBorder="1" applyAlignment="1">
      <alignment horizontal="center" vertical="center"/>
    </xf>
    <xf numFmtId="22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/>
    <xf numFmtId="0" fontId="9" fillId="3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/>
    </xf>
    <xf numFmtId="0" fontId="6" fillId="4" borderId="0" xfId="0" applyFont="1" applyFill="1"/>
    <xf numFmtId="0" fontId="6" fillId="4" borderId="0" xfId="0" applyFont="1" applyFill="1" applyAlignment="1">
      <alignment horizontal="right"/>
    </xf>
    <xf numFmtId="49" fontId="2" fillId="4" borderId="1" xfId="0" applyNumberFormat="1" applyFont="1" applyFill="1" applyBorder="1" applyAlignment="1">
      <alignment horizontal="center"/>
    </xf>
    <xf numFmtId="20" fontId="3" fillId="6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/>
    </xf>
    <xf numFmtId="0" fontId="13" fillId="15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/>
    </xf>
    <xf numFmtId="0" fontId="9" fillId="3" borderId="1" xfId="0" applyFont="1" applyFill="1" applyBorder="1"/>
    <xf numFmtId="49" fontId="14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15" fillId="0" borderId="0" xfId="0" applyNumberFormat="1" applyFont="1" applyAlignment="1">
      <alignment horizontal="right"/>
    </xf>
    <xf numFmtId="0" fontId="1" fillId="16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/>
    </xf>
    <xf numFmtId="49" fontId="1" fillId="17" borderId="1" xfId="0" applyNumberFormat="1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/>
    <xf numFmtId="20" fontId="1" fillId="4" borderId="1" xfId="0" applyNumberFormat="1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22" fontId="1" fillId="4" borderId="1" xfId="0" applyNumberFormat="1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9" fillId="9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righ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4" fontId="0" fillId="0" borderId="0" xfId="2" applyFont="1" applyAlignment="1">
      <alignment horizontal="left"/>
    </xf>
    <xf numFmtId="44" fontId="0" fillId="5" borderId="0" xfId="2" applyFont="1" applyFill="1" applyAlignment="1">
      <alignment horizontal="left"/>
    </xf>
    <xf numFmtId="44" fontId="0" fillId="0" borderId="0" xfId="0" applyNumberFormat="1" applyAlignment="1">
      <alignment horizontal="left"/>
    </xf>
    <xf numFmtId="44" fontId="0" fillId="4" borderId="0" xfId="2" applyFont="1" applyFill="1" applyAlignment="1">
      <alignment horizontal="left"/>
    </xf>
    <xf numFmtId="44" fontId="0" fillId="21" borderId="0" xfId="2" applyFont="1" applyFill="1" applyAlignment="1">
      <alignment horizontal="left"/>
    </xf>
    <xf numFmtId="44" fontId="0" fillId="3" borderId="0" xfId="2" applyFont="1" applyFill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9" fillId="22" borderId="1" xfId="0" applyFont="1" applyFill="1" applyBorder="1" applyAlignment="1">
      <alignment horizontal="center"/>
    </xf>
    <xf numFmtId="0" fontId="0" fillId="4" borderId="0" xfId="0" applyFill="1"/>
    <xf numFmtId="0" fontId="9" fillId="4" borderId="3" xfId="0" applyFont="1" applyFill="1" applyBorder="1" applyAlignment="1">
      <alignment horizontal="center"/>
    </xf>
    <xf numFmtId="0" fontId="22" fillId="5" borderId="1" xfId="0" applyFont="1" applyFill="1" applyBorder="1"/>
    <xf numFmtId="0" fontId="18" fillId="3" borderId="1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vertical="center"/>
    </xf>
    <xf numFmtId="22" fontId="1" fillId="3" borderId="7" xfId="0" applyNumberFormat="1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49" fontId="1" fillId="3" borderId="6" xfId="0" applyNumberFormat="1" applyFont="1" applyFill="1" applyBorder="1" applyAlignment="1">
      <alignment horizontal="center"/>
    </xf>
    <xf numFmtId="49" fontId="9" fillId="3" borderId="6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22" fontId="1" fillId="3" borderId="6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3" borderId="7" xfId="0" applyFont="1" applyFill="1" applyBorder="1" applyAlignment="1">
      <alignment horizontal="center" wrapText="1"/>
    </xf>
    <xf numFmtId="0" fontId="1" fillId="3" borderId="7" xfId="0" applyFont="1" applyFill="1" applyBorder="1"/>
    <xf numFmtId="22" fontId="1" fillId="0" borderId="7" xfId="0" applyNumberFormat="1" applyFon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18" fillId="23" borderId="6" xfId="0" applyFont="1" applyFill="1" applyBorder="1" applyAlignment="1">
      <alignment horizontal="center" vertical="center" wrapText="1"/>
    </xf>
    <xf numFmtId="22" fontId="23" fillId="3" borderId="1" xfId="0" applyNumberFormat="1" applyFont="1" applyFill="1" applyBorder="1" applyAlignment="1">
      <alignment horizontal="center"/>
    </xf>
    <xf numFmtId="22" fontId="23" fillId="3" borderId="6" xfId="0" applyNumberFormat="1" applyFont="1" applyFill="1" applyBorder="1" applyAlignment="1">
      <alignment horizontal="center"/>
    </xf>
    <xf numFmtId="22" fontId="23" fillId="3" borderId="7" xfId="0" applyNumberFormat="1" applyFont="1" applyFill="1" applyBorder="1" applyAlignment="1">
      <alignment horizontal="center"/>
    </xf>
    <xf numFmtId="0" fontId="24" fillId="23" borderId="6" xfId="0" applyFont="1" applyFill="1" applyBorder="1" applyAlignment="1">
      <alignment horizontal="center" vertical="center" wrapText="1"/>
    </xf>
    <xf numFmtId="22" fontId="23" fillId="0" borderId="7" xfId="0" applyNumberFormat="1" applyFont="1" applyBorder="1" applyAlignment="1">
      <alignment horizontal="center"/>
    </xf>
    <xf numFmtId="22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22" fontId="1" fillId="24" borderId="1" xfId="0" applyNumberFormat="1" applyFont="1" applyFill="1" applyBorder="1" applyAlignment="1">
      <alignment horizontal="center"/>
    </xf>
    <xf numFmtId="0" fontId="0" fillId="9" borderId="0" xfId="0" applyFill="1"/>
    <xf numFmtId="0" fontId="1" fillId="19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vertical="center"/>
    </xf>
    <xf numFmtId="22" fontId="1" fillId="3" borderId="10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9" fontId="6" fillId="0" borderId="0" xfId="0" applyNumberFormat="1" applyFont="1"/>
    <xf numFmtId="0" fontId="1" fillId="21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horizontal="center"/>
    </xf>
    <xf numFmtId="0" fontId="9" fillId="21" borderId="1" xfId="0" applyFont="1" applyFill="1" applyBorder="1" applyAlignment="1">
      <alignment vertical="center"/>
    </xf>
    <xf numFmtId="0" fontId="1" fillId="19" borderId="6" xfId="0" applyFont="1" applyFill="1" applyBorder="1" applyAlignment="1">
      <alignment vertical="center"/>
    </xf>
    <xf numFmtId="0" fontId="1" fillId="19" borderId="1" xfId="0" applyFont="1" applyFill="1" applyBorder="1"/>
    <xf numFmtId="0" fontId="23" fillId="19" borderId="6" xfId="0" applyFont="1" applyFill="1" applyBorder="1" applyAlignment="1">
      <alignment vertical="center"/>
    </xf>
  </cellXfs>
  <cellStyles count="3">
    <cellStyle name="Moneda" xfId="2" builtinId="4"/>
    <cellStyle name="Normal" xfId="0" builtinId="0"/>
    <cellStyle name="Normal 2" xfId="1" xr:uid="{F196D2D8-E12D-49FC-BB6B-0DDD8918309D}"/>
  </cellStyles>
  <dxfs count="7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alignment horizontal="center" textRotation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rgb="FFFFFFE1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Aptos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"/>
        <family val="2"/>
        <scheme val="none"/>
      </font>
      <fill>
        <patternFill patternType="solid">
          <fgColor rgb="FFC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 style="dotted">
          <color indexed="64"/>
        </vertical>
        <horizontal style="dotted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alignment horizontal="center" textRotation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rgb="FFFFFFE1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Aptos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tted">
          <color indexed="64"/>
        </right>
        <top style="dotted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ptos"/>
        <family val="2"/>
        <scheme val="none"/>
      </font>
      <fill>
        <patternFill patternType="solid">
          <fgColor rgb="FFC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 style="dotted">
          <color indexed="64"/>
        </vertical>
        <horizontal style="dotted">
          <color indexed="64"/>
        </horizontal>
      </border>
    </dxf>
  </dxfs>
  <tableStyles count="0" defaultTableStyle="TableStyleMedium2" defaultPivotStyle="PivotStyleLight16"/>
  <colors>
    <mruColors>
      <color rgb="FFFFFFEF"/>
      <color rgb="FFEFF9EB"/>
      <color rgb="FFFFFFD5"/>
      <color rgb="FFFDEEE7"/>
      <color rgb="FFE5FC5A"/>
      <color rgb="FFA2BD03"/>
      <color rgb="FFECECEC"/>
      <color rgb="FFDEDEDE"/>
      <color rgb="FFD9D9D9"/>
      <color rgb="FFE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518160</xdr:colOff>
      <xdr:row>100</xdr:row>
      <xdr:rowOff>117060</xdr:rowOff>
    </xdr:from>
    <xdr:to>
      <xdr:col>10</xdr:col>
      <xdr:colOff>525175</xdr:colOff>
      <xdr:row>109</xdr:row>
      <xdr:rowOff>75990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1D863B-A45A-8E80-B1F1-B96BB19B2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4640" y="17985960"/>
          <a:ext cx="4434235" cy="15362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156CC1-536E-43FE-99C5-5F3062D609EB}" name="Tabla14" displayName="Tabla14" ref="A1:M30" totalsRowShown="0" headerRowDxfId="75" dataDxfId="73" headerRowBorderDxfId="74" tableBorderDxfId="72">
  <autoFilter ref="A1:M30" xr:uid="{E63DED47-E80B-47BA-84F1-A16C829ED329}"/>
  <tableColumns count="13">
    <tableColumn id="11" xr3:uid="{20B9A247-4FF4-4312-9AEE-335C936AEAC8}" name="CLIENTE" dataDxfId="71"/>
    <tableColumn id="12" xr3:uid="{B9CAB289-D17C-4F33-8EF3-2613A6C8B6C4}" name="PROCESO" dataDxfId="70"/>
    <tableColumn id="2" xr3:uid="{FB4C56D8-5490-411F-8059-2A26A3679867}" name="TIPO" dataDxfId="69"/>
    <tableColumn id="3" xr3:uid="{E358A18A-6D0C-4167-A3EE-44AF30DC0F57}" name="GUIA" dataDxfId="68"/>
    <tableColumn id="4" xr3:uid="{1C7A86D6-D264-4500-B767-072956997928}" name="REFERENCIA" dataDxfId="67"/>
    <tableColumn id="5" xr3:uid="{AB67AC13-07F1-4795-9053-DED0633A2DAA}" name="REFRENDO" dataDxfId="66"/>
    <tableColumn id="6" xr3:uid="{E7BBDC7D-FE6D-4233-8D4D-E324F2B82751}" name="MRN" dataDxfId="65"/>
    <tableColumn id="7" xr3:uid="{2D45E89F-2BB9-4559-9C80-4BA567FF0DC4}" name="ORDEN" dataDxfId="64"/>
    <tableColumn id="9" xr3:uid="{11DB8BAF-F912-486A-BA30-A2C2A0790F57}" name="FECHA DE ARRIBO" dataDxfId="63"/>
    <tableColumn id="10" xr3:uid="{B38DC756-B842-4A63-9122-01DEF070D50B}" name="DIG" dataDxfId="62"/>
    <tableColumn id="8" xr3:uid="{3696F73E-5FC2-43AB-AB9A-4ADB59162FFF}" name="STATUS" dataDxfId="61"/>
    <tableColumn id="14" xr3:uid="{D73FF332-A314-B84E-9230-595D4AB7165C}" name="Solicitud de creación" dataDxfId="60"/>
    <tableColumn id="1" xr3:uid="{C185EDD8-7D55-4B19-A5AE-6560264F25BB}" name="Columna1" dataDxfId="5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5ABB6F-1CA1-4434-A9A1-1486DCA0F052}" name="Tabla13" displayName="Tabla13" ref="B1:L90" totalsRowShown="0" headerRowDxfId="58" dataDxfId="56" headerRowBorderDxfId="57" tableBorderDxfId="55">
  <autoFilter ref="B1:L90" xr:uid="{E63DED47-E80B-47BA-84F1-A16C829ED329}"/>
  <tableColumns count="11">
    <tableColumn id="1" xr3:uid="{716F3A97-8D94-4AF7-B66E-29F64B216E57}" name="PROCESO" dataDxfId="54"/>
    <tableColumn id="2" xr3:uid="{1F7F6A5C-ECD1-464D-B634-9B434F749C02}" name="TIPO" dataDxfId="53"/>
    <tableColumn id="3" xr3:uid="{F73F1088-D5CE-44C6-BB5F-DD8010F2E252}" name="GUIA" dataDxfId="52"/>
    <tableColumn id="4" xr3:uid="{CC72CC81-F332-4E5D-A835-2DAE7A197F81}" name="REFERENCIA" dataDxfId="51"/>
    <tableColumn id="5" xr3:uid="{984D21BC-2BCB-4F11-8B39-0C4C758E132B}" name="REFRENDO" dataDxfId="50"/>
    <tableColumn id="6" xr3:uid="{911EAC37-4D03-4EF0-9858-DA8DA146CA30}" name="MRN" dataDxfId="49"/>
    <tableColumn id="7" xr3:uid="{252E0DDC-A08F-427A-83D2-529899BB9CE3}" name="ORDEN" dataDxfId="48"/>
    <tableColumn id="9" xr3:uid="{520027D6-2925-4AAE-88CB-6FCBB2910534}" name="FECHA DE ARRIBO" dataDxfId="47"/>
    <tableColumn id="10" xr3:uid="{99CC7ADD-03ED-4F06-8A98-B5893C621F3C}" name="DIG" dataDxfId="46"/>
    <tableColumn id="8" xr3:uid="{3D8DE53F-F2F6-4575-A49E-4C9EF158C3F0}" name="STATUS" dataDxfId="45"/>
    <tableColumn id="14" xr3:uid="{9CBED502-F9B8-420E-A306-E0F079BA8E95}" name="Solicitu de creación" dataDxfId="44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6934-0E41-4E68-BA80-FD4FC5F1D963}">
  <dimension ref="A1:M55"/>
  <sheetViews>
    <sheetView showGridLines="0" tabSelected="1" zoomScaleNormal="100" workbookViewId="0">
      <selection activeCell="F21" sqref="F21"/>
    </sheetView>
  </sheetViews>
  <sheetFormatPr baseColWidth="10" defaultColWidth="11.42578125" defaultRowHeight="13.9" customHeight="1" x14ac:dyDescent="0.2"/>
  <cols>
    <col min="1" max="1" width="11.28515625" style="23" customWidth="1"/>
    <col min="2" max="2" width="13.140625" style="23" customWidth="1"/>
    <col min="3" max="3" width="14.42578125" style="23" customWidth="1"/>
    <col min="4" max="4" width="13.7109375" style="23" customWidth="1"/>
    <col min="5" max="5" width="13.28515625" style="23" customWidth="1"/>
    <col min="6" max="6" width="21.7109375" style="22" bestFit="1" customWidth="1"/>
    <col min="7" max="7" width="23" style="23" bestFit="1" customWidth="1"/>
    <col min="8" max="8" width="8.7109375" style="23" customWidth="1"/>
    <col min="9" max="9" width="19.85546875" style="23" customWidth="1"/>
    <col min="10" max="10" width="4.85546875" style="21" customWidth="1"/>
    <col min="11" max="11" width="49" style="19" customWidth="1"/>
    <col min="12" max="12" width="15.28515625" style="23" customWidth="1"/>
    <col min="13" max="16384" width="11.42578125" style="17"/>
  </cols>
  <sheetData>
    <row r="1" spans="1:13" ht="27.6" customHeight="1" x14ac:dyDescent="0.2">
      <c r="A1" s="72" t="s">
        <v>199</v>
      </c>
      <c r="B1" s="72" t="s">
        <v>0</v>
      </c>
      <c r="C1" s="72" t="s">
        <v>1</v>
      </c>
      <c r="D1" s="72" t="s">
        <v>2</v>
      </c>
      <c r="E1" s="72" t="s">
        <v>209</v>
      </c>
      <c r="F1" s="72" t="s">
        <v>3</v>
      </c>
      <c r="G1" s="72" t="s">
        <v>4</v>
      </c>
      <c r="H1" s="72" t="s">
        <v>166</v>
      </c>
      <c r="I1" s="72" t="s">
        <v>5</v>
      </c>
      <c r="J1" s="72" t="s">
        <v>6</v>
      </c>
      <c r="K1" s="72" t="s">
        <v>7</v>
      </c>
      <c r="L1" s="16" t="s">
        <v>542</v>
      </c>
      <c r="M1" s="131" t="s">
        <v>673</v>
      </c>
    </row>
    <row r="2" spans="1:13" s="19" customFormat="1" ht="13.9" customHeight="1" x14ac:dyDescent="0.2">
      <c r="A2" s="85" t="s">
        <v>180</v>
      </c>
      <c r="B2" s="26" t="s">
        <v>684</v>
      </c>
      <c r="C2" s="26" t="s">
        <v>10</v>
      </c>
      <c r="D2" s="85">
        <v>20230613461</v>
      </c>
      <c r="E2" s="100" t="s">
        <v>457</v>
      </c>
      <c r="F2" s="22" t="s">
        <v>471</v>
      </c>
      <c r="G2" s="73" t="s">
        <v>468</v>
      </c>
      <c r="H2" s="21">
        <v>2600940</v>
      </c>
      <c r="I2" s="21" t="s">
        <v>589</v>
      </c>
      <c r="J2" s="20" t="s">
        <v>458</v>
      </c>
      <c r="K2" s="50" t="s">
        <v>449</v>
      </c>
      <c r="L2" s="18">
        <v>46048.802083333336</v>
      </c>
      <c r="M2" s="124"/>
    </row>
    <row r="3" spans="1:13" s="19" customFormat="1" ht="13.9" customHeight="1" x14ac:dyDescent="0.2">
      <c r="A3" s="40" t="s">
        <v>180</v>
      </c>
      <c r="B3" s="21" t="s">
        <v>684</v>
      </c>
      <c r="C3" s="21" t="s">
        <v>10</v>
      </c>
      <c r="D3" s="40">
        <v>72993107313</v>
      </c>
      <c r="E3" s="40" t="s">
        <v>632</v>
      </c>
      <c r="F3" s="22" t="s">
        <v>743</v>
      </c>
      <c r="G3" s="73"/>
      <c r="H3" s="21">
        <v>2601138</v>
      </c>
      <c r="I3" s="21" t="s">
        <v>740</v>
      </c>
      <c r="J3" s="20" t="s">
        <v>458</v>
      </c>
      <c r="K3" s="24" t="s">
        <v>667</v>
      </c>
      <c r="L3" s="18">
        <v>46057.588194444441</v>
      </c>
      <c r="M3" s="124"/>
    </row>
    <row r="4" spans="1:13" s="19" customFormat="1" ht="13.9" customHeight="1" x14ac:dyDescent="0.2">
      <c r="A4" s="40" t="s">
        <v>180</v>
      </c>
      <c r="B4" s="21" t="s">
        <v>684</v>
      </c>
      <c r="C4" s="21" t="s">
        <v>10</v>
      </c>
      <c r="D4" s="40">
        <v>20231467542</v>
      </c>
      <c r="E4" s="53" t="s">
        <v>692</v>
      </c>
      <c r="F4" s="22" t="s">
        <v>741</v>
      </c>
      <c r="G4" s="73"/>
      <c r="H4" s="21">
        <v>2601139</v>
      </c>
      <c r="I4" s="21" t="s">
        <v>662</v>
      </c>
      <c r="J4" s="20" t="s">
        <v>458</v>
      </c>
      <c r="K4" s="24" t="s">
        <v>667</v>
      </c>
      <c r="L4" s="18">
        <v>46058.63958333333</v>
      </c>
      <c r="M4" s="135"/>
    </row>
    <row r="5" spans="1:13" s="19" customFormat="1" ht="13.9" customHeight="1" x14ac:dyDescent="0.2">
      <c r="A5" s="40" t="s">
        <v>180</v>
      </c>
      <c r="B5" s="21" t="s">
        <v>684</v>
      </c>
      <c r="C5" s="21" t="s">
        <v>10</v>
      </c>
      <c r="D5" s="40">
        <v>20231480750</v>
      </c>
      <c r="E5" s="40" t="s">
        <v>649</v>
      </c>
      <c r="F5" s="22" t="s">
        <v>742</v>
      </c>
      <c r="G5" s="73"/>
      <c r="H5" s="21">
        <v>2601140</v>
      </c>
      <c r="I5" s="21" t="s">
        <v>662</v>
      </c>
      <c r="J5" s="20" t="s">
        <v>458</v>
      </c>
      <c r="K5" s="24" t="s">
        <v>667</v>
      </c>
      <c r="L5" s="18">
        <v>46057.968055555553</v>
      </c>
      <c r="M5" s="124"/>
    </row>
    <row r="6" spans="1:13" s="19" customFormat="1" ht="13.9" customHeight="1" x14ac:dyDescent="0.2">
      <c r="A6" s="40" t="s">
        <v>180</v>
      </c>
      <c r="B6" s="21" t="s">
        <v>684</v>
      </c>
      <c r="C6" s="21" t="s">
        <v>10</v>
      </c>
      <c r="D6" s="141">
        <v>72993107416</v>
      </c>
      <c r="E6" s="40" t="s">
        <v>689</v>
      </c>
      <c r="F6" s="22"/>
      <c r="G6" s="73"/>
      <c r="H6" s="21"/>
      <c r="I6" s="21" t="s">
        <v>734</v>
      </c>
      <c r="J6" s="20" t="s">
        <v>458</v>
      </c>
      <c r="K6" s="24" t="s">
        <v>14</v>
      </c>
      <c r="L6" s="18">
        <v>46057.914583333331</v>
      </c>
      <c r="M6" s="135"/>
    </row>
    <row r="7" spans="1:13" s="19" customFormat="1" ht="13.9" customHeight="1" x14ac:dyDescent="0.2">
      <c r="A7" s="133" t="s">
        <v>200</v>
      </c>
      <c r="B7" s="136" t="s">
        <v>685</v>
      </c>
      <c r="C7" s="21" t="s">
        <v>10</v>
      </c>
      <c r="D7" s="40">
        <v>72993313636</v>
      </c>
      <c r="E7" s="40" t="s">
        <v>636</v>
      </c>
      <c r="F7" s="22"/>
      <c r="G7" s="73"/>
      <c r="H7" s="21"/>
      <c r="I7" s="21" t="s">
        <v>733</v>
      </c>
      <c r="J7" s="20" t="s">
        <v>458</v>
      </c>
      <c r="K7" s="24" t="s">
        <v>14</v>
      </c>
      <c r="L7" s="18">
        <v>46056.68472222222</v>
      </c>
      <c r="M7" s="124"/>
    </row>
    <row r="8" spans="1:13" s="19" customFormat="1" ht="13.9" customHeight="1" x14ac:dyDescent="0.2">
      <c r="A8" s="85" t="s">
        <v>180</v>
      </c>
      <c r="B8" s="26" t="s">
        <v>684</v>
      </c>
      <c r="C8" s="26" t="s">
        <v>10</v>
      </c>
      <c r="D8" s="85">
        <v>72945783931</v>
      </c>
      <c r="E8" s="40" t="s">
        <v>623</v>
      </c>
      <c r="F8" s="22"/>
      <c r="G8" s="73"/>
      <c r="H8" s="21"/>
      <c r="I8" s="21" t="s">
        <v>622</v>
      </c>
      <c r="J8" s="20"/>
      <c r="K8" s="24" t="s">
        <v>14</v>
      </c>
      <c r="L8" s="18"/>
      <c r="M8" s="124"/>
    </row>
    <row r="9" spans="1:13" s="19" customFormat="1" ht="13.9" customHeight="1" x14ac:dyDescent="0.2">
      <c r="A9" s="40" t="s">
        <v>180</v>
      </c>
      <c r="B9" s="21" t="s">
        <v>684</v>
      </c>
      <c r="C9" s="21" t="s">
        <v>10</v>
      </c>
      <c r="D9" s="40">
        <v>72945868723</v>
      </c>
      <c r="E9" s="79" t="s">
        <v>474</v>
      </c>
      <c r="F9" s="22"/>
      <c r="G9" s="73"/>
      <c r="H9" s="21"/>
      <c r="I9" s="21" t="s">
        <v>622</v>
      </c>
      <c r="J9" s="20"/>
      <c r="K9" s="24" t="s">
        <v>14</v>
      </c>
      <c r="L9" s="18"/>
      <c r="M9" s="124"/>
    </row>
    <row r="10" spans="1:13" s="19" customFormat="1" ht="13.9" customHeight="1" x14ac:dyDescent="0.2">
      <c r="A10" s="40" t="s">
        <v>180</v>
      </c>
      <c r="B10" s="21" t="s">
        <v>684</v>
      </c>
      <c r="C10" s="21" t="s">
        <v>10</v>
      </c>
      <c r="D10" s="40">
        <v>20231155445</v>
      </c>
      <c r="E10" s="40" t="s">
        <v>668</v>
      </c>
      <c r="F10" s="22"/>
      <c r="G10" s="73"/>
      <c r="H10" s="21"/>
      <c r="I10" s="21" t="s">
        <v>645</v>
      </c>
      <c r="J10" s="20" t="s">
        <v>458</v>
      </c>
      <c r="K10" s="24" t="s">
        <v>14</v>
      </c>
      <c r="L10" s="18">
        <v>46058.493055555555</v>
      </c>
      <c r="M10" s="124"/>
    </row>
    <row r="11" spans="1:13" s="19" customFormat="1" ht="13.9" customHeight="1" x14ac:dyDescent="0.2">
      <c r="A11" s="85" t="s">
        <v>180</v>
      </c>
      <c r="B11" s="26" t="s">
        <v>684</v>
      </c>
      <c r="C11" s="26" t="s">
        <v>10</v>
      </c>
      <c r="D11" s="85"/>
      <c r="E11" s="53" t="s">
        <v>726</v>
      </c>
      <c r="F11" s="22"/>
      <c r="G11" s="73" t="s">
        <v>728</v>
      </c>
      <c r="H11" s="21"/>
      <c r="I11" s="21"/>
      <c r="J11" s="20"/>
      <c r="K11" s="24" t="s">
        <v>14</v>
      </c>
      <c r="L11" s="18"/>
      <c r="M11" s="18"/>
    </row>
    <row r="12" spans="1:13" s="19" customFormat="1" ht="13.9" customHeight="1" x14ac:dyDescent="0.2">
      <c r="A12" s="40" t="s">
        <v>180</v>
      </c>
      <c r="B12" s="21" t="s">
        <v>684</v>
      </c>
      <c r="C12" s="21" t="s">
        <v>10</v>
      </c>
      <c r="D12" s="40">
        <v>72993104712</v>
      </c>
      <c r="E12" s="59" t="s">
        <v>359</v>
      </c>
      <c r="F12" s="22"/>
      <c r="G12" s="73"/>
      <c r="H12" s="21"/>
      <c r="I12" s="21"/>
      <c r="J12" s="20" t="s">
        <v>458</v>
      </c>
      <c r="K12" s="24" t="s">
        <v>14</v>
      </c>
      <c r="L12" s="18">
        <v>46034.618750000001</v>
      </c>
      <c r="M12" s="124"/>
    </row>
    <row r="13" spans="1:13" s="19" customFormat="1" ht="13.9" customHeight="1" x14ac:dyDescent="0.2">
      <c r="A13" s="85" t="s">
        <v>180</v>
      </c>
      <c r="B13" s="26" t="s">
        <v>684</v>
      </c>
      <c r="C13" s="26" t="s">
        <v>10</v>
      </c>
      <c r="D13" s="85" t="s">
        <v>669</v>
      </c>
      <c r="E13" s="40" t="s">
        <v>593</v>
      </c>
      <c r="F13" s="22"/>
      <c r="G13" s="73"/>
      <c r="H13" s="21"/>
      <c r="I13" s="21"/>
      <c r="J13" s="20"/>
      <c r="K13" s="24" t="s">
        <v>675</v>
      </c>
      <c r="L13" s="18"/>
      <c r="M13" s="124"/>
    </row>
    <row r="14" spans="1:13" s="19" customFormat="1" ht="13.9" customHeight="1" x14ac:dyDescent="0.2">
      <c r="A14" s="40" t="s">
        <v>180</v>
      </c>
      <c r="B14" s="21" t="s">
        <v>148</v>
      </c>
      <c r="C14" s="21" t="s">
        <v>10</v>
      </c>
      <c r="D14" s="40">
        <v>3809019</v>
      </c>
      <c r="E14" s="40" t="s">
        <v>725</v>
      </c>
      <c r="F14" s="22"/>
      <c r="G14" s="73"/>
      <c r="H14" s="21"/>
      <c r="I14" s="21"/>
      <c r="J14" s="20"/>
      <c r="K14" s="24" t="s">
        <v>14</v>
      </c>
      <c r="L14" s="18"/>
      <c r="M14" s="135"/>
    </row>
    <row r="15" spans="1:13" s="19" customFormat="1" ht="13.9" customHeight="1" thickBot="1" x14ac:dyDescent="0.25">
      <c r="A15" s="40" t="s">
        <v>180</v>
      </c>
      <c r="B15" s="21" t="s">
        <v>684</v>
      </c>
      <c r="C15" s="21" t="s">
        <v>10</v>
      </c>
      <c r="D15" s="40">
        <v>72945867824</v>
      </c>
      <c r="E15" s="79" t="s">
        <v>465</v>
      </c>
      <c r="F15" s="22"/>
      <c r="G15" s="73"/>
      <c r="H15" s="21">
        <v>2600593</v>
      </c>
      <c r="I15" s="21" t="s">
        <v>646</v>
      </c>
      <c r="J15" s="20" t="s">
        <v>21</v>
      </c>
      <c r="K15" s="134" t="s">
        <v>735</v>
      </c>
      <c r="L15" s="18"/>
      <c r="M15" s="125"/>
    </row>
    <row r="16" spans="1:13" s="19" customFormat="1" ht="13.9" customHeight="1" thickBot="1" x14ac:dyDescent="0.25">
      <c r="A16" s="110" t="s">
        <v>180</v>
      </c>
      <c r="B16" s="111" t="s">
        <v>639</v>
      </c>
      <c r="C16" s="111" t="s">
        <v>10</v>
      </c>
      <c r="D16" s="110">
        <v>72945868373</v>
      </c>
      <c r="E16" s="112" t="s">
        <v>470</v>
      </c>
      <c r="F16" s="113"/>
      <c r="G16" s="114"/>
      <c r="H16" s="111"/>
      <c r="I16" s="111" t="s">
        <v>579</v>
      </c>
      <c r="J16" s="115" t="s">
        <v>19</v>
      </c>
      <c r="K16" s="143" t="s">
        <v>736</v>
      </c>
      <c r="L16" s="116">
        <v>46052.541666666664</v>
      </c>
      <c r="M16" s="126"/>
    </row>
    <row r="17" spans="1:13" s="19" customFormat="1" ht="13.9" customHeight="1" x14ac:dyDescent="0.2">
      <c r="A17" s="103" t="s">
        <v>180</v>
      </c>
      <c r="B17" s="104" t="s">
        <v>686</v>
      </c>
      <c r="C17" s="104" t="s">
        <v>631</v>
      </c>
      <c r="D17" s="104">
        <v>72991102196</v>
      </c>
      <c r="E17" s="105" t="s">
        <v>466</v>
      </c>
      <c r="F17" s="106"/>
      <c r="G17" s="106"/>
      <c r="H17" s="104"/>
      <c r="I17" s="104"/>
      <c r="J17" s="107" t="s">
        <v>11</v>
      </c>
      <c r="K17" s="108" t="s">
        <v>473</v>
      </c>
      <c r="L17" s="109">
        <v>46050.705555555556</v>
      </c>
      <c r="M17" s="124"/>
    </row>
    <row r="18" spans="1:13" ht="13.9" customHeight="1" x14ac:dyDescent="0.2">
      <c r="A18" s="23" t="s">
        <v>180</v>
      </c>
      <c r="B18" s="23" t="s">
        <v>686</v>
      </c>
      <c r="C18" s="23" t="s">
        <v>631</v>
      </c>
      <c r="D18" s="23">
        <v>72991102476</v>
      </c>
      <c r="E18" s="23" t="s">
        <v>744</v>
      </c>
      <c r="F18" s="22" t="s">
        <v>745</v>
      </c>
      <c r="H18" s="23">
        <v>2601134</v>
      </c>
      <c r="J18" s="21" t="s">
        <v>11</v>
      </c>
      <c r="K18" s="19" t="s">
        <v>752</v>
      </c>
    </row>
    <row r="19" spans="1:13" ht="13.9" customHeight="1" x14ac:dyDescent="0.2">
      <c r="A19" s="23" t="s">
        <v>180</v>
      </c>
      <c r="B19" s="23" t="s">
        <v>686</v>
      </c>
      <c r="C19" s="23" t="s">
        <v>631</v>
      </c>
      <c r="D19" s="23">
        <v>72991102480</v>
      </c>
      <c r="E19" s="23" t="s">
        <v>746</v>
      </c>
      <c r="F19" s="22" t="s">
        <v>747</v>
      </c>
      <c r="H19" s="23">
        <v>2601135</v>
      </c>
      <c r="J19" s="21" t="s">
        <v>11</v>
      </c>
      <c r="K19" s="19" t="s">
        <v>752</v>
      </c>
    </row>
    <row r="20" spans="1:13" ht="13.9" customHeight="1" x14ac:dyDescent="0.2">
      <c r="A20" s="23" t="s">
        <v>180</v>
      </c>
      <c r="B20" s="23" t="s">
        <v>686</v>
      </c>
      <c r="C20" s="23" t="s">
        <v>631</v>
      </c>
      <c r="D20" s="23">
        <v>72991102410</v>
      </c>
      <c r="E20" s="23" t="s">
        <v>748</v>
      </c>
      <c r="F20" s="22" t="s">
        <v>749</v>
      </c>
      <c r="H20" s="23">
        <v>2601136</v>
      </c>
      <c r="J20" s="21" t="s">
        <v>11</v>
      </c>
      <c r="K20" s="19" t="s">
        <v>752</v>
      </c>
    </row>
    <row r="21" spans="1:13" ht="13.9" customHeight="1" x14ac:dyDescent="0.2">
      <c r="A21" s="23" t="s">
        <v>180</v>
      </c>
      <c r="B21" s="23" t="s">
        <v>686</v>
      </c>
      <c r="C21" s="23" t="s">
        <v>631</v>
      </c>
      <c r="D21" s="23">
        <v>72991102491</v>
      </c>
      <c r="E21" s="23" t="s">
        <v>750</v>
      </c>
      <c r="F21" s="22" t="s">
        <v>751</v>
      </c>
      <c r="H21" s="23">
        <v>2601137</v>
      </c>
      <c r="J21" s="21" t="s">
        <v>11</v>
      </c>
      <c r="K21" s="19" t="s">
        <v>752</v>
      </c>
    </row>
    <row r="22" spans="1:13" s="54" customFormat="1" ht="13.9" customHeight="1" thickBot="1" x14ac:dyDescent="0.25">
      <c r="A22" s="110" t="s">
        <v>180</v>
      </c>
      <c r="B22" s="112" t="s">
        <v>52</v>
      </c>
      <c r="C22" s="111" t="s">
        <v>631</v>
      </c>
      <c r="D22" s="110">
        <v>72991102373</v>
      </c>
      <c r="E22" s="110" t="s">
        <v>647</v>
      </c>
      <c r="F22" s="114"/>
      <c r="G22" s="114"/>
      <c r="H22" s="110"/>
      <c r="I22" s="110"/>
      <c r="J22" s="122" t="s">
        <v>19</v>
      </c>
      <c r="K22" s="145" t="s">
        <v>648</v>
      </c>
      <c r="L22" s="123"/>
      <c r="M22" s="128"/>
    </row>
    <row r="23" spans="1:13" ht="13.9" customHeight="1" x14ac:dyDescent="0.2">
      <c r="A23" s="104" t="s">
        <v>180</v>
      </c>
      <c r="B23" s="104" t="s">
        <v>18</v>
      </c>
      <c r="C23" s="104" t="s">
        <v>169</v>
      </c>
      <c r="D23" s="117" t="s">
        <v>670</v>
      </c>
      <c r="E23" s="104" t="s">
        <v>20</v>
      </c>
      <c r="F23" s="106"/>
      <c r="G23" s="118"/>
      <c r="H23" s="117"/>
      <c r="I23" s="119"/>
      <c r="J23" s="107" t="s">
        <v>21</v>
      </c>
      <c r="K23" s="120" t="s">
        <v>167</v>
      </c>
      <c r="L23" s="121"/>
      <c r="M23" s="129"/>
    </row>
    <row r="24" spans="1:13" ht="13.9" customHeight="1" x14ac:dyDescent="0.2">
      <c r="A24" s="21" t="s">
        <v>180</v>
      </c>
      <c r="B24" s="21" t="s">
        <v>18</v>
      </c>
      <c r="C24" s="21" t="s">
        <v>169</v>
      </c>
      <c r="D24" s="23" t="s">
        <v>671</v>
      </c>
      <c r="E24" s="21" t="s">
        <v>22</v>
      </c>
      <c r="G24" s="30"/>
      <c r="I24" s="31"/>
      <c r="J24" s="20" t="s">
        <v>21</v>
      </c>
      <c r="K24" s="19" t="s">
        <v>167</v>
      </c>
      <c r="L24" s="25"/>
      <c r="M24" s="124"/>
    </row>
    <row r="25" spans="1:13" s="19" customFormat="1" ht="13.9" customHeight="1" x14ac:dyDescent="0.2">
      <c r="A25" s="21" t="s">
        <v>180</v>
      </c>
      <c r="B25" s="21" t="s">
        <v>18</v>
      </c>
      <c r="C25" s="21" t="s">
        <v>169</v>
      </c>
      <c r="D25" s="23" t="s">
        <v>672</v>
      </c>
      <c r="E25" s="21" t="s">
        <v>50</v>
      </c>
      <c r="F25" s="22"/>
      <c r="G25" s="22"/>
      <c r="H25" s="21"/>
      <c r="I25" s="21"/>
      <c r="J25" s="20" t="s">
        <v>21</v>
      </c>
      <c r="K25" s="19" t="s">
        <v>167</v>
      </c>
      <c r="L25" s="18"/>
      <c r="M25" s="129"/>
    </row>
    <row r="26" spans="1:13" ht="13.9" customHeight="1" x14ac:dyDescent="0.2">
      <c r="A26" s="21" t="s">
        <v>180</v>
      </c>
      <c r="B26" s="21" t="s">
        <v>18</v>
      </c>
      <c r="C26" s="21" t="s">
        <v>169</v>
      </c>
      <c r="D26" s="21" t="s">
        <v>154</v>
      </c>
      <c r="E26" s="21" t="s">
        <v>162</v>
      </c>
      <c r="F26" s="22" t="s">
        <v>150</v>
      </c>
      <c r="G26" s="22"/>
      <c r="I26" s="31" t="s">
        <v>626</v>
      </c>
      <c r="J26" s="20" t="s">
        <v>19</v>
      </c>
      <c r="K26" s="19" t="s">
        <v>642</v>
      </c>
      <c r="L26" s="25"/>
      <c r="M26" s="124"/>
    </row>
    <row r="27" spans="1:13" s="19" customFormat="1" ht="13.9" customHeight="1" x14ac:dyDescent="0.2">
      <c r="A27" s="133" t="s">
        <v>200</v>
      </c>
      <c r="B27" s="21" t="s">
        <v>18</v>
      </c>
      <c r="C27" s="21" t="s">
        <v>169</v>
      </c>
      <c r="D27" s="40" t="s">
        <v>155</v>
      </c>
      <c r="E27" s="21" t="s">
        <v>694</v>
      </c>
      <c r="F27" s="22" t="s">
        <v>156</v>
      </c>
      <c r="G27" s="22" t="s">
        <v>693</v>
      </c>
      <c r="H27" s="21"/>
      <c r="I27" s="21"/>
      <c r="J27" s="20" t="s">
        <v>19</v>
      </c>
      <c r="K27" s="134" t="s">
        <v>738</v>
      </c>
      <c r="L27" s="18"/>
      <c r="M27" s="124"/>
    </row>
    <row r="28" spans="1:13" s="19" customFormat="1" ht="13.9" customHeight="1" x14ac:dyDescent="0.2">
      <c r="A28" s="21" t="s">
        <v>180</v>
      </c>
      <c r="B28" s="21" t="s">
        <v>18</v>
      </c>
      <c r="C28" s="21" t="s">
        <v>169</v>
      </c>
      <c r="D28" s="40" t="s">
        <v>550</v>
      </c>
      <c r="E28" s="21"/>
      <c r="F28" s="22"/>
      <c r="G28" s="22"/>
      <c r="H28" s="21"/>
      <c r="I28" s="21"/>
      <c r="J28" s="20" t="s">
        <v>21</v>
      </c>
      <c r="K28" s="58" t="s">
        <v>551</v>
      </c>
      <c r="L28" s="18"/>
      <c r="M28" s="130"/>
    </row>
    <row r="29" spans="1:13" ht="13.9" customHeight="1" x14ac:dyDescent="0.2">
      <c r="A29" s="133" t="s">
        <v>181</v>
      </c>
      <c r="B29" s="21" t="s">
        <v>18</v>
      </c>
      <c r="C29" s="21" t="s">
        <v>169</v>
      </c>
      <c r="D29" s="21" t="s">
        <v>151</v>
      </c>
      <c r="E29" s="21" t="s">
        <v>163</v>
      </c>
      <c r="F29" s="86" t="s">
        <v>591</v>
      </c>
      <c r="G29" s="30" t="s">
        <v>152</v>
      </c>
      <c r="H29" s="23">
        <v>2600636</v>
      </c>
      <c r="I29" s="21" t="s">
        <v>624</v>
      </c>
      <c r="J29" s="20" t="s">
        <v>19</v>
      </c>
      <c r="K29" s="144" t="s">
        <v>737</v>
      </c>
      <c r="L29" s="25"/>
    </row>
    <row r="30" spans="1:13" ht="13.9" customHeight="1" x14ac:dyDescent="0.2">
      <c r="A30" s="21" t="s">
        <v>180</v>
      </c>
      <c r="B30" s="21" t="s">
        <v>18</v>
      </c>
      <c r="C30" s="21" t="s">
        <v>169</v>
      </c>
      <c r="D30" s="21" t="s">
        <v>153</v>
      </c>
      <c r="E30" s="21" t="s">
        <v>161</v>
      </c>
      <c r="F30" s="86" t="s">
        <v>555</v>
      </c>
      <c r="G30" s="30" t="s">
        <v>149</v>
      </c>
      <c r="H30" s="23">
        <v>2600637</v>
      </c>
      <c r="I30" s="31" t="s">
        <v>625</v>
      </c>
      <c r="J30" s="20" t="s">
        <v>19</v>
      </c>
      <c r="K30" s="144" t="s">
        <v>737</v>
      </c>
      <c r="L30" s="25"/>
    </row>
    <row r="31" spans="1:13" s="19" customFormat="1" ht="13.9" customHeight="1" x14ac:dyDescent="0.2"/>
    <row r="32" spans="1:13" s="19" customFormat="1" ht="13.9" customHeight="1" x14ac:dyDescent="0.2"/>
    <row r="33" s="19" customFormat="1" ht="13.9" customHeight="1" x14ac:dyDescent="0.2"/>
    <row r="34" s="19" customFormat="1" ht="13.9" customHeight="1" x14ac:dyDescent="0.2"/>
    <row r="35" s="19" customFormat="1" ht="13.9" customHeight="1" x14ac:dyDescent="0.2"/>
    <row r="36" s="19" customFormat="1" ht="13.9" customHeight="1" x14ac:dyDescent="0.2"/>
    <row r="37" s="19" customFormat="1" ht="13.9" customHeight="1" x14ac:dyDescent="0.2"/>
    <row r="38" s="19" customFormat="1" ht="13.9" customHeight="1" x14ac:dyDescent="0.2"/>
    <row r="39" s="19" customFormat="1" ht="13.9" customHeight="1" x14ac:dyDescent="0.2"/>
    <row r="40" s="19" customFormat="1" ht="13.9" customHeight="1" x14ac:dyDescent="0.2"/>
    <row r="41" s="19" customFormat="1" ht="13.9" customHeight="1" x14ac:dyDescent="0.2"/>
    <row r="42" s="19" customFormat="1" ht="13.9" customHeight="1" x14ac:dyDescent="0.2"/>
    <row r="43" s="19" customFormat="1" ht="13.9" customHeight="1" x14ac:dyDescent="0.2"/>
    <row r="44" s="19" customFormat="1" ht="13.9" customHeight="1" x14ac:dyDescent="0.2"/>
    <row r="45" s="19" customFormat="1" ht="13.9" customHeight="1" x14ac:dyDescent="0.2"/>
    <row r="46" s="19" customFormat="1" ht="13.15" customHeight="1" x14ac:dyDescent="0.2"/>
    <row r="47" s="19" customFormat="1" ht="13.9" customHeight="1" x14ac:dyDescent="0.2"/>
    <row r="48" s="19" customFormat="1" ht="13.9" customHeight="1" x14ac:dyDescent="0.2"/>
    <row r="49" s="19" customFormat="1" ht="13.9" customHeight="1" x14ac:dyDescent="0.2"/>
    <row r="50" s="19" customFormat="1" ht="13.9" customHeight="1" x14ac:dyDescent="0.2"/>
    <row r="51" s="19" customFormat="1" ht="13.9" customHeight="1" x14ac:dyDescent="0.2"/>
    <row r="52" s="19" customFormat="1" ht="13.9" customHeight="1" x14ac:dyDescent="0.2"/>
    <row r="53" s="19" customFormat="1" ht="13.9" customHeight="1" x14ac:dyDescent="0.2"/>
    <row r="54" s="19" customFormat="1" ht="13.9" customHeight="1" x14ac:dyDescent="0.2"/>
    <row r="55" s="19" customFormat="1" ht="13.9" customHeight="1" x14ac:dyDescent="0.2"/>
  </sheetData>
  <phoneticPr fontId="4" type="noConversion"/>
  <conditionalFormatting sqref="D22:D28 D2:D17">
    <cfRule type="duplicateValues" dxfId="43" priority="663"/>
  </conditionalFormatting>
  <conditionalFormatting sqref="D22:D28 D2:D16">
    <cfRule type="duplicateValues" dxfId="42" priority="597"/>
  </conditionalFormatting>
  <conditionalFormatting sqref="D23:D28 D2:D16">
    <cfRule type="duplicateValues" dxfId="41" priority="600"/>
  </conditionalFormatting>
  <conditionalFormatting sqref="D29:D30">
    <cfRule type="duplicateValues" dxfId="40" priority="4"/>
    <cfRule type="duplicateValues" dxfId="39" priority="5"/>
    <cfRule type="duplicateValues" dxfId="38" priority="7"/>
    <cfRule type="duplicateValues" dxfId="37" priority="8"/>
  </conditionalFormatting>
  <conditionalFormatting sqref="D56:D1048576 D22:D28 D2:D16">
    <cfRule type="duplicateValues" dxfId="36" priority="606"/>
  </conditionalFormatting>
  <conditionalFormatting sqref="D22:E28 D2:E16">
    <cfRule type="duplicateValues" dxfId="35" priority="610"/>
  </conditionalFormatting>
  <conditionalFormatting sqref="D23:E28 D9:E9">
    <cfRule type="duplicateValues" dxfId="34" priority="596"/>
  </conditionalFormatting>
  <conditionalFormatting sqref="D29:E30">
    <cfRule type="duplicateValues" dxfId="33" priority="1"/>
    <cfRule type="duplicateValues" dxfId="32" priority="2"/>
    <cfRule type="duplicateValues" dxfId="31" priority="3"/>
  </conditionalFormatting>
  <conditionalFormatting sqref="D56:E1048576 D22:E28 D2:E16">
    <cfRule type="duplicateValues" dxfId="30" priority="613"/>
  </conditionalFormatting>
  <conditionalFormatting sqref="E8 E11">
    <cfRule type="duplicateValues" dxfId="29" priority="10"/>
  </conditionalFormatting>
  <conditionalFormatting sqref="E13 E7 E10 E3">
    <cfRule type="duplicateValues" dxfId="28" priority="625"/>
  </conditionalFormatting>
  <conditionalFormatting sqref="E14 E4">
    <cfRule type="duplicateValues" dxfId="27" priority="661"/>
  </conditionalFormatting>
  <conditionalFormatting sqref="E56:E1048576">
    <cfRule type="duplicateValues" dxfId="26" priority="21"/>
  </conditionalFormatting>
  <conditionalFormatting sqref="H29:H30">
    <cfRule type="duplicateValues" dxfId="25" priority="6"/>
  </conditionalFormatting>
  <conditionalFormatting sqref="H56:H1048576 H2:H16 H22:H28">
    <cfRule type="duplicateValues" dxfId="24" priority="62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6313-DABB-4D45-AB0E-DB8AC9947F3A}">
  <dimension ref="A1:M62"/>
  <sheetViews>
    <sheetView topLeftCell="A41" workbookViewId="0">
      <selection activeCell="A56" sqref="A56:XFD62"/>
    </sheetView>
  </sheetViews>
  <sheetFormatPr baseColWidth="10" defaultRowHeight="15" x14ac:dyDescent="0.25"/>
  <cols>
    <col min="1" max="1" width="11.5703125" customWidth="1"/>
    <col min="2" max="2" width="11.7109375" bestFit="1" customWidth="1"/>
    <col min="3" max="3" width="13.42578125" bestFit="1" customWidth="1"/>
    <col min="4" max="4" width="10.5703125" bestFit="1" customWidth="1"/>
    <col min="5" max="5" width="10" bestFit="1" customWidth="1"/>
    <col min="6" max="6" width="21.28515625" bestFit="1" customWidth="1"/>
    <col min="7" max="7" width="23.28515625" bestFit="1" customWidth="1"/>
    <col min="8" max="8" width="7" bestFit="1" customWidth="1"/>
    <col min="9" max="9" width="19.28515625" bestFit="1" customWidth="1"/>
    <col min="10" max="10" width="3.7109375" bestFit="1" customWidth="1"/>
    <col min="11" max="11" width="37.7109375" bestFit="1" customWidth="1"/>
    <col min="12" max="12" width="13.7109375" bestFit="1" customWidth="1"/>
  </cols>
  <sheetData>
    <row r="1" spans="1:12" s="17" customFormat="1" ht="13.9" customHeight="1" x14ac:dyDescent="0.2">
      <c r="A1" s="72" t="s">
        <v>199</v>
      </c>
      <c r="B1" s="71" t="s">
        <v>0</v>
      </c>
      <c r="C1" s="71" t="s">
        <v>1</v>
      </c>
      <c r="D1" s="71" t="s">
        <v>453</v>
      </c>
      <c r="E1" s="71" t="s">
        <v>168</v>
      </c>
      <c r="F1" s="71" t="s">
        <v>3</v>
      </c>
      <c r="G1" s="71" t="s">
        <v>4</v>
      </c>
      <c r="H1" s="71" t="s">
        <v>17</v>
      </c>
      <c r="I1" s="71"/>
      <c r="J1" s="71" t="s">
        <v>6</v>
      </c>
      <c r="K1" s="71" t="s">
        <v>7</v>
      </c>
      <c r="L1" s="16" t="s">
        <v>8</v>
      </c>
    </row>
    <row r="2" spans="1:12" s="19" customFormat="1" ht="13.9" customHeight="1" x14ac:dyDescent="0.2">
      <c r="A2" s="40" t="s">
        <v>180</v>
      </c>
      <c r="B2" s="21" t="s">
        <v>12</v>
      </c>
      <c r="C2" s="21" t="s">
        <v>10</v>
      </c>
      <c r="D2" s="40">
        <v>72945869051</v>
      </c>
      <c r="E2" s="79" t="s">
        <v>481</v>
      </c>
      <c r="F2" s="22"/>
      <c r="G2" s="73"/>
      <c r="H2" s="21"/>
      <c r="I2" s="21" t="s">
        <v>503</v>
      </c>
      <c r="J2" s="20"/>
      <c r="K2" s="24" t="s">
        <v>491</v>
      </c>
      <c r="L2" s="18"/>
    </row>
    <row r="3" spans="1:12" s="19" customFormat="1" ht="13.9" customHeight="1" x14ac:dyDescent="0.2">
      <c r="A3" s="40" t="s">
        <v>180</v>
      </c>
      <c r="B3" s="21" t="s">
        <v>12</v>
      </c>
      <c r="C3" s="21" t="s">
        <v>10</v>
      </c>
      <c r="D3" s="65">
        <v>72945866612</v>
      </c>
      <c r="E3" s="40" t="s">
        <v>454</v>
      </c>
      <c r="F3" s="22"/>
      <c r="G3" s="73"/>
      <c r="H3" s="21"/>
      <c r="I3" s="21" t="s">
        <v>503</v>
      </c>
      <c r="J3" s="20" t="s">
        <v>391</v>
      </c>
      <c r="K3" s="24" t="s">
        <v>491</v>
      </c>
      <c r="L3" s="18">
        <v>46043.832638888889</v>
      </c>
    </row>
    <row r="4" spans="1:12" s="19" customFormat="1" ht="13.9" customHeight="1" x14ac:dyDescent="0.2">
      <c r="A4" s="40" t="s">
        <v>180</v>
      </c>
      <c r="B4" s="21" t="s">
        <v>12</v>
      </c>
      <c r="C4" s="21" t="s">
        <v>10</v>
      </c>
      <c r="D4" s="40">
        <v>72945868686</v>
      </c>
      <c r="E4" s="79" t="s">
        <v>475</v>
      </c>
      <c r="F4" s="22"/>
      <c r="G4" s="73"/>
      <c r="H4" s="21"/>
      <c r="I4" s="21" t="s">
        <v>503</v>
      </c>
      <c r="J4" s="20"/>
      <c r="K4" s="24" t="s">
        <v>491</v>
      </c>
      <c r="L4" s="18"/>
    </row>
    <row r="5" spans="1:12" s="19" customFormat="1" ht="13.9" customHeight="1" x14ac:dyDescent="0.2">
      <c r="A5" s="40" t="s">
        <v>180</v>
      </c>
      <c r="B5" s="21" t="s">
        <v>12</v>
      </c>
      <c r="C5" s="21" t="s">
        <v>10</v>
      </c>
      <c r="D5" s="40">
        <v>72945867835</v>
      </c>
      <c r="E5" s="79" t="s">
        <v>467</v>
      </c>
      <c r="F5" s="22"/>
      <c r="G5" s="73"/>
      <c r="H5" s="21"/>
      <c r="I5" s="21" t="s">
        <v>541</v>
      </c>
      <c r="J5" s="20"/>
      <c r="K5" s="24" t="s">
        <v>476</v>
      </c>
      <c r="L5" s="18"/>
    </row>
    <row r="6" spans="1:12" s="19" customFormat="1" ht="13.9" customHeight="1" x14ac:dyDescent="0.2">
      <c r="A6" s="40" t="s">
        <v>180</v>
      </c>
      <c r="B6" s="21" t="s">
        <v>15</v>
      </c>
      <c r="C6" s="21" t="s">
        <v>16</v>
      </c>
      <c r="D6" s="21">
        <v>72991102200</v>
      </c>
      <c r="E6" s="51" t="s">
        <v>472</v>
      </c>
      <c r="F6" s="22" t="s">
        <v>573</v>
      </c>
      <c r="G6" s="22"/>
      <c r="H6" s="21">
        <v>2600959</v>
      </c>
      <c r="I6" s="21"/>
      <c r="J6" s="20" t="s">
        <v>11</v>
      </c>
      <c r="K6" s="29" t="s">
        <v>367</v>
      </c>
      <c r="L6" s="18"/>
    </row>
    <row r="7" spans="1:12" s="19" customFormat="1" ht="13.9" customHeight="1" x14ac:dyDescent="0.2">
      <c r="A7" s="40" t="s">
        <v>180</v>
      </c>
      <c r="B7" s="21" t="s">
        <v>15</v>
      </c>
      <c r="C7" s="21" t="s">
        <v>16</v>
      </c>
      <c r="D7" s="21">
        <v>72991102222</v>
      </c>
      <c r="E7" s="51" t="s">
        <v>484</v>
      </c>
      <c r="F7" s="22" t="s">
        <v>566</v>
      </c>
      <c r="G7" s="22"/>
      <c r="H7" s="21">
        <v>2601002</v>
      </c>
      <c r="I7" s="21"/>
      <c r="J7" s="20" t="s">
        <v>11</v>
      </c>
      <c r="K7" s="29" t="s">
        <v>367</v>
      </c>
      <c r="L7" s="18">
        <v>46052.65</v>
      </c>
    </row>
    <row r="8" spans="1:12" s="19" customFormat="1" ht="13.9" customHeight="1" x14ac:dyDescent="0.2">
      <c r="A8" s="40" t="s">
        <v>180</v>
      </c>
      <c r="B8" s="21" t="s">
        <v>15</v>
      </c>
      <c r="C8" s="21" t="s">
        <v>16</v>
      </c>
      <c r="D8" s="21">
        <v>72991102270</v>
      </c>
      <c r="E8" s="51" t="s">
        <v>485</v>
      </c>
      <c r="F8" s="22" t="s">
        <v>567</v>
      </c>
      <c r="G8" s="22"/>
      <c r="H8" s="21">
        <v>2601001</v>
      </c>
      <c r="I8" s="21"/>
      <c r="J8" s="20" t="s">
        <v>11</v>
      </c>
      <c r="K8" s="29" t="s">
        <v>367</v>
      </c>
      <c r="L8" s="18">
        <v>46052.647222222222</v>
      </c>
    </row>
    <row r="9" spans="1:12" s="19" customFormat="1" ht="13.9" customHeight="1" x14ac:dyDescent="0.2">
      <c r="A9" s="40" t="s">
        <v>180</v>
      </c>
      <c r="B9" s="21" t="s">
        <v>15</v>
      </c>
      <c r="C9" s="21" t="s">
        <v>16</v>
      </c>
      <c r="D9" s="21">
        <v>72991102266</v>
      </c>
      <c r="E9" s="51" t="s">
        <v>486</v>
      </c>
      <c r="F9" s="22" t="s">
        <v>569</v>
      </c>
      <c r="G9" s="22"/>
      <c r="H9" s="21">
        <v>2601000</v>
      </c>
      <c r="I9" s="21"/>
      <c r="J9" s="20" t="s">
        <v>11</v>
      </c>
      <c r="K9" s="29" t="s">
        <v>367</v>
      </c>
      <c r="L9" s="18">
        <v>46052.645138888889</v>
      </c>
    </row>
    <row r="10" spans="1:12" s="19" customFormat="1" ht="13.9" customHeight="1" x14ac:dyDescent="0.2">
      <c r="A10" s="40" t="s">
        <v>180</v>
      </c>
      <c r="B10" s="21" t="s">
        <v>15</v>
      </c>
      <c r="C10" s="21" t="s">
        <v>16</v>
      </c>
      <c r="D10" s="21">
        <v>72991102255</v>
      </c>
      <c r="E10" s="51" t="s">
        <v>487</v>
      </c>
      <c r="F10" s="22" t="s">
        <v>570</v>
      </c>
      <c r="G10" s="22"/>
      <c r="H10" s="21">
        <v>2600999</v>
      </c>
      <c r="I10" s="21"/>
      <c r="J10" s="20" t="s">
        <v>11</v>
      </c>
      <c r="K10" s="29" t="s">
        <v>367</v>
      </c>
      <c r="L10" s="18">
        <v>46052.643750000003</v>
      </c>
    </row>
    <row r="11" spans="1:12" s="19" customFormat="1" ht="13.9" customHeight="1" x14ac:dyDescent="0.2">
      <c r="A11" s="40" t="s">
        <v>180</v>
      </c>
      <c r="B11" s="21" t="s">
        <v>15</v>
      </c>
      <c r="C11" s="21" t="s">
        <v>16</v>
      </c>
      <c r="D11" s="21">
        <v>72991102244</v>
      </c>
      <c r="E11" s="51" t="s">
        <v>488</v>
      </c>
      <c r="F11" s="22" t="s">
        <v>568</v>
      </c>
      <c r="G11" s="22"/>
      <c r="H11" s="21">
        <v>2600998</v>
      </c>
      <c r="I11" s="21"/>
      <c r="J11" s="20" t="s">
        <v>11</v>
      </c>
      <c r="K11" s="29" t="s">
        <v>367</v>
      </c>
      <c r="L11" s="18">
        <v>46052.63958333333</v>
      </c>
    </row>
    <row r="12" spans="1:12" s="19" customFormat="1" ht="13.9" customHeight="1" x14ac:dyDescent="0.2">
      <c r="A12" s="40" t="s">
        <v>180</v>
      </c>
      <c r="B12" s="21" t="s">
        <v>15</v>
      </c>
      <c r="C12" s="21" t="s">
        <v>16</v>
      </c>
      <c r="D12" s="21">
        <v>72991102233</v>
      </c>
      <c r="E12" s="51" t="s">
        <v>489</v>
      </c>
      <c r="F12" s="22" t="s">
        <v>571</v>
      </c>
      <c r="G12" s="22"/>
      <c r="H12" s="21">
        <v>2600997</v>
      </c>
      <c r="I12" s="21"/>
      <c r="J12" s="20" t="s">
        <v>11</v>
      </c>
      <c r="K12" s="29" t="s">
        <v>367</v>
      </c>
      <c r="L12" s="18">
        <v>46052.637499999997</v>
      </c>
    </row>
    <row r="13" spans="1:12" s="19" customFormat="1" ht="14.45" customHeight="1" x14ac:dyDescent="0.2">
      <c r="A13" s="40" t="s">
        <v>180</v>
      </c>
      <c r="B13" s="21" t="s">
        <v>15</v>
      </c>
      <c r="C13" s="21" t="s">
        <v>16</v>
      </c>
      <c r="D13" s="21">
        <v>72991102211</v>
      </c>
      <c r="E13" s="51" t="s">
        <v>490</v>
      </c>
      <c r="F13" s="22" t="s">
        <v>572</v>
      </c>
      <c r="G13" s="22"/>
      <c r="H13" s="21">
        <v>2600995</v>
      </c>
      <c r="I13" s="21"/>
      <c r="J13" s="20" t="s">
        <v>11</v>
      </c>
      <c r="K13" s="29" t="s">
        <v>367</v>
      </c>
      <c r="L13" s="18">
        <v>46052.634722222225</v>
      </c>
    </row>
    <row r="14" spans="1:12" s="19" customFormat="1" ht="13.9" customHeight="1" x14ac:dyDescent="0.2">
      <c r="A14" s="40" t="s">
        <v>180</v>
      </c>
      <c r="B14" s="21" t="s">
        <v>15</v>
      </c>
      <c r="C14" s="21" t="s">
        <v>16</v>
      </c>
      <c r="D14" s="21">
        <v>72991102336</v>
      </c>
      <c r="E14" s="21" t="s">
        <v>574</v>
      </c>
      <c r="F14" s="22" t="s">
        <v>581</v>
      </c>
      <c r="G14" s="22"/>
      <c r="H14" s="21">
        <v>2601038</v>
      </c>
      <c r="I14" s="21"/>
      <c r="J14" s="20" t="s">
        <v>11</v>
      </c>
      <c r="K14" s="29" t="s">
        <v>367</v>
      </c>
      <c r="L14" s="18">
        <v>46055.679166666669</v>
      </c>
    </row>
    <row r="15" spans="1:12" s="19" customFormat="1" ht="13.9" customHeight="1" x14ac:dyDescent="0.2">
      <c r="A15" s="40" t="s">
        <v>180</v>
      </c>
      <c r="B15" s="21" t="s">
        <v>15</v>
      </c>
      <c r="C15" s="21" t="s">
        <v>16</v>
      </c>
      <c r="D15" s="21">
        <v>72991102325</v>
      </c>
      <c r="E15" s="21" t="s">
        <v>575</v>
      </c>
      <c r="F15" s="22" t="s">
        <v>580</v>
      </c>
      <c r="G15" s="22"/>
      <c r="H15" s="21">
        <v>2601039</v>
      </c>
      <c r="I15" s="21"/>
      <c r="J15" s="20" t="s">
        <v>11</v>
      </c>
      <c r="K15" s="29" t="s">
        <v>367</v>
      </c>
      <c r="L15" s="18">
        <v>46055.677083333336</v>
      </c>
    </row>
    <row r="16" spans="1:12" s="19" customFormat="1" ht="13.9" customHeight="1" x14ac:dyDescent="0.2">
      <c r="A16" s="40" t="s">
        <v>180</v>
      </c>
      <c r="B16" s="21" t="s">
        <v>15</v>
      </c>
      <c r="C16" s="21" t="s">
        <v>16</v>
      </c>
      <c r="D16" s="21">
        <v>72991102314</v>
      </c>
      <c r="E16" s="21" t="s">
        <v>576</v>
      </c>
      <c r="F16" s="22" t="s">
        <v>582</v>
      </c>
      <c r="G16" s="22"/>
      <c r="H16" s="21">
        <v>2601037</v>
      </c>
      <c r="I16" s="21"/>
      <c r="J16" s="20" t="s">
        <v>11</v>
      </c>
      <c r="K16" s="29" t="s">
        <v>367</v>
      </c>
      <c r="L16" s="18">
        <v>46055.674305555556</v>
      </c>
    </row>
    <row r="17" spans="1:12" s="19" customFormat="1" ht="13.9" customHeight="1" x14ac:dyDescent="0.2">
      <c r="A17" s="40" t="s">
        <v>180</v>
      </c>
      <c r="B17" s="21" t="s">
        <v>15</v>
      </c>
      <c r="C17" s="21" t="s">
        <v>16</v>
      </c>
      <c r="D17" s="21">
        <v>72991102281</v>
      </c>
      <c r="E17" s="21" t="s">
        <v>577</v>
      </c>
      <c r="F17" s="22" t="s">
        <v>583</v>
      </c>
      <c r="G17" s="22"/>
      <c r="H17" s="21">
        <v>2601036</v>
      </c>
      <c r="I17" s="21"/>
      <c r="J17" s="20" t="s">
        <v>11</v>
      </c>
      <c r="K17" s="29" t="s">
        <v>367</v>
      </c>
      <c r="L17" s="18">
        <v>46055.671527777777</v>
      </c>
    </row>
    <row r="18" spans="1:12" s="19" customFormat="1" ht="13.9" customHeight="1" x14ac:dyDescent="0.2">
      <c r="A18" s="40" t="s">
        <v>180</v>
      </c>
      <c r="B18" s="21" t="s">
        <v>12</v>
      </c>
      <c r="C18" s="21" t="s">
        <v>10</v>
      </c>
      <c r="D18" s="40">
        <v>72945829895</v>
      </c>
      <c r="E18" s="79" t="s">
        <v>456</v>
      </c>
      <c r="F18" s="22" t="s">
        <v>530</v>
      </c>
      <c r="G18" s="73" t="s">
        <v>539</v>
      </c>
      <c r="H18" s="21">
        <v>2600996</v>
      </c>
      <c r="I18" s="21" t="s">
        <v>505</v>
      </c>
      <c r="J18" s="20" t="s">
        <v>458</v>
      </c>
      <c r="K18" s="50" t="s">
        <v>333</v>
      </c>
      <c r="L18" s="18">
        <v>46047.90625</v>
      </c>
    </row>
    <row r="19" spans="1:12" s="19" customFormat="1" ht="13.9" customHeight="1" x14ac:dyDescent="0.2">
      <c r="A19" s="40" t="s">
        <v>180</v>
      </c>
      <c r="B19" s="21" t="s">
        <v>12</v>
      </c>
      <c r="C19" s="21" t="s">
        <v>10</v>
      </c>
      <c r="D19" s="98">
        <v>72993106823</v>
      </c>
      <c r="E19" s="79" t="s">
        <v>482</v>
      </c>
      <c r="F19" s="22" t="s">
        <v>549</v>
      </c>
      <c r="G19" s="73" t="s">
        <v>536</v>
      </c>
      <c r="H19" s="21">
        <v>2601005</v>
      </c>
      <c r="I19" s="21" t="s">
        <v>504</v>
      </c>
      <c r="J19" s="20" t="s">
        <v>458</v>
      </c>
      <c r="K19" s="50" t="s">
        <v>309</v>
      </c>
      <c r="L19" s="18">
        <v>46052.416666666664</v>
      </c>
    </row>
    <row r="20" spans="1:12" s="19" customFormat="1" ht="13.9" customHeight="1" x14ac:dyDescent="0.2">
      <c r="A20" s="40" t="s">
        <v>180</v>
      </c>
      <c r="B20" s="21" t="s">
        <v>12</v>
      </c>
      <c r="C20" s="21" t="s">
        <v>10</v>
      </c>
      <c r="D20" s="40">
        <v>72993106915</v>
      </c>
      <c r="E20" s="79" t="s">
        <v>495</v>
      </c>
      <c r="F20" s="22" t="s">
        <v>544</v>
      </c>
      <c r="G20" s="73" t="s">
        <v>537</v>
      </c>
      <c r="H20" s="21">
        <v>2601004</v>
      </c>
      <c r="I20" s="21" t="s">
        <v>504</v>
      </c>
      <c r="J20" s="20" t="s">
        <v>458</v>
      </c>
      <c r="K20" s="50" t="s">
        <v>309</v>
      </c>
      <c r="L20" s="18">
        <v>46052.722916666666</v>
      </c>
    </row>
    <row r="21" spans="1:12" s="19" customFormat="1" ht="13.9" customHeight="1" x14ac:dyDescent="0.2">
      <c r="A21" s="40" t="s">
        <v>180</v>
      </c>
      <c r="B21" s="21" t="s">
        <v>12</v>
      </c>
      <c r="C21" s="21" t="s">
        <v>10</v>
      </c>
      <c r="D21" s="40">
        <v>72993106764</v>
      </c>
      <c r="E21" s="79" t="s">
        <v>497</v>
      </c>
      <c r="F21" s="22" t="s">
        <v>545</v>
      </c>
      <c r="G21" s="73" t="s">
        <v>535</v>
      </c>
      <c r="H21" s="21">
        <v>2601006</v>
      </c>
      <c r="I21" s="21" t="s">
        <v>504</v>
      </c>
      <c r="J21" s="20" t="s">
        <v>458</v>
      </c>
      <c r="K21" s="50" t="s">
        <v>309</v>
      </c>
      <c r="L21" s="18">
        <v>46051.654861111114</v>
      </c>
    </row>
    <row r="22" spans="1:12" s="19" customFormat="1" ht="13.9" customHeight="1" x14ac:dyDescent="0.2">
      <c r="A22" s="40" t="s">
        <v>180</v>
      </c>
      <c r="B22" s="21" t="s">
        <v>12</v>
      </c>
      <c r="C22" s="21" t="s">
        <v>10</v>
      </c>
      <c r="D22" s="40">
        <v>72993106904</v>
      </c>
      <c r="E22" s="79" t="s">
        <v>496</v>
      </c>
      <c r="F22" s="22" t="s">
        <v>547</v>
      </c>
      <c r="G22" s="73" t="s">
        <v>533</v>
      </c>
      <c r="H22" s="21">
        <v>2601008</v>
      </c>
      <c r="I22" s="21" t="s">
        <v>500</v>
      </c>
      <c r="J22" s="20" t="s">
        <v>458</v>
      </c>
      <c r="K22" s="50" t="s">
        <v>309</v>
      </c>
      <c r="L22" s="18">
        <v>46052.681944444441</v>
      </c>
    </row>
    <row r="23" spans="1:12" s="19" customFormat="1" ht="13.9" customHeight="1" x14ac:dyDescent="0.2">
      <c r="A23" s="40" t="s">
        <v>180</v>
      </c>
      <c r="B23" s="21" t="s">
        <v>12</v>
      </c>
      <c r="C23" s="21" t="s">
        <v>10</v>
      </c>
      <c r="D23" s="40">
        <v>72993106834</v>
      </c>
      <c r="E23" s="79" t="s">
        <v>483</v>
      </c>
      <c r="F23" s="22" t="s">
        <v>546</v>
      </c>
      <c r="G23" s="73" t="s">
        <v>538</v>
      </c>
      <c r="H23" s="21">
        <v>2601007</v>
      </c>
      <c r="I23" s="21" t="s">
        <v>504</v>
      </c>
      <c r="J23" s="20" t="s">
        <v>458</v>
      </c>
      <c r="K23" s="50" t="s">
        <v>309</v>
      </c>
      <c r="L23" s="18">
        <v>46052.537499999999</v>
      </c>
    </row>
    <row r="24" spans="1:12" s="19" customFormat="1" ht="13.9" customHeight="1" x14ac:dyDescent="0.2">
      <c r="A24" s="40" t="s">
        <v>180</v>
      </c>
      <c r="B24" s="21" t="s">
        <v>12</v>
      </c>
      <c r="C24" s="21" t="s">
        <v>10</v>
      </c>
      <c r="D24" s="40">
        <v>20231467240</v>
      </c>
      <c r="E24" s="79" t="s">
        <v>492</v>
      </c>
      <c r="F24" s="22" t="s">
        <v>548</v>
      </c>
      <c r="G24" s="73" t="s">
        <v>531</v>
      </c>
      <c r="H24" s="21">
        <v>2601009</v>
      </c>
      <c r="I24" s="21" t="s">
        <v>502</v>
      </c>
      <c r="J24" s="20" t="s">
        <v>458</v>
      </c>
      <c r="K24" s="50" t="s">
        <v>309</v>
      </c>
      <c r="L24" s="18">
        <v>46052.926388888889</v>
      </c>
    </row>
    <row r="25" spans="1:12" s="19" customFormat="1" ht="13.9" customHeight="1" x14ac:dyDescent="0.2">
      <c r="A25" s="40" t="s">
        <v>180</v>
      </c>
      <c r="B25" s="21" t="s">
        <v>12</v>
      </c>
      <c r="C25" s="21" t="s">
        <v>10</v>
      </c>
      <c r="D25" s="40">
        <v>72993106790</v>
      </c>
      <c r="E25" s="79" t="s">
        <v>493</v>
      </c>
      <c r="F25" s="22" t="s">
        <v>559</v>
      </c>
      <c r="G25" s="73" t="s">
        <v>498</v>
      </c>
      <c r="H25" s="21">
        <v>2601010</v>
      </c>
      <c r="I25" s="21" t="s">
        <v>552</v>
      </c>
      <c r="J25" s="20" t="s">
        <v>458</v>
      </c>
      <c r="K25" s="50" t="s">
        <v>309</v>
      </c>
      <c r="L25" s="18">
        <v>46051.739583333336</v>
      </c>
    </row>
    <row r="26" spans="1:12" s="19" customFormat="1" ht="13.9" customHeight="1" x14ac:dyDescent="0.2">
      <c r="A26" s="40" t="s">
        <v>180</v>
      </c>
      <c r="B26" s="21" t="s">
        <v>12</v>
      </c>
      <c r="C26" s="21" t="s">
        <v>10</v>
      </c>
      <c r="D26" s="98">
        <v>72993106952</v>
      </c>
      <c r="E26" s="79" t="s">
        <v>553</v>
      </c>
      <c r="F26" s="22" t="s">
        <v>557</v>
      </c>
      <c r="G26" s="73" t="s">
        <v>561</v>
      </c>
      <c r="H26" s="21">
        <v>2601012</v>
      </c>
      <c r="I26" s="21" t="s">
        <v>540</v>
      </c>
      <c r="J26" s="20" t="s">
        <v>458</v>
      </c>
      <c r="K26" s="50" t="s">
        <v>309</v>
      </c>
      <c r="L26" s="18">
        <v>46053.466666666667</v>
      </c>
    </row>
    <row r="27" spans="1:12" s="19" customFormat="1" ht="13.9" customHeight="1" x14ac:dyDescent="0.2">
      <c r="A27" s="40" t="s">
        <v>180</v>
      </c>
      <c r="B27" s="21" t="s">
        <v>12</v>
      </c>
      <c r="C27" s="21" t="s">
        <v>10</v>
      </c>
      <c r="D27" s="40">
        <v>72993106926</v>
      </c>
      <c r="E27" s="79" t="s">
        <v>494</v>
      </c>
      <c r="F27" s="22" t="s">
        <v>563</v>
      </c>
      <c r="G27" s="73" t="s">
        <v>562</v>
      </c>
      <c r="H27" s="21">
        <v>2601023</v>
      </c>
      <c r="I27" s="21" t="s">
        <v>499</v>
      </c>
      <c r="J27" s="20" t="s">
        <v>458</v>
      </c>
      <c r="K27" s="50" t="s">
        <v>309</v>
      </c>
      <c r="L27" s="18">
        <v>46052.956944444442</v>
      </c>
    </row>
    <row r="28" spans="1:12" s="19" customFormat="1" ht="13.9" customHeight="1" x14ac:dyDescent="0.2">
      <c r="A28" s="85" t="s">
        <v>180</v>
      </c>
      <c r="B28" s="26" t="s">
        <v>12</v>
      </c>
      <c r="C28" s="26" t="s">
        <v>10</v>
      </c>
      <c r="D28" s="85">
        <v>72993106753</v>
      </c>
      <c r="E28" s="21" t="s">
        <v>448</v>
      </c>
      <c r="F28" s="22" t="s">
        <v>560</v>
      </c>
      <c r="G28" s="22" t="s">
        <v>532</v>
      </c>
      <c r="H28" s="21">
        <v>2601022</v>
      </c>
      <c r="I28" s="21" t="s">
        <v>504</v>
      </c>
      <c r="J28" s="20" t="s">
        <v>458</v>
      </c>
      <c r="K28" s="50" t="s">
        <v>333</v>
      </c>
      <c r="L28" s="18">
        <v>46051.625694444447</v>
      </c>
    </row>
    <row r="29" spans="1:12" s="19" customFormat="1" ht="13.9" customHeight="1" x14ac:dyDescent="0.2">
      <c r="A29" s="40" t="s">
        <v>180</v>
      </c>
      <c r="B29" s="51" t="s">
        <v>13</v>
      </c>
      <c r="C29" s="21" t="s">
        <v>10</v>
      </c>
      <c r="D29" s="78">
        <v>72945769275</v>
      </c>
      <c r="E29" s="79" t="s">
        <v>455</v>
      </c>
      <c r="F29" s="22" t="s">
        <v>478</v>
      </c>
      <c r="G29" s="73" t="s">
        <v>479</v>
      </c>
      <c r="H29" s="21">
        <v>2600961</v>
      </c>
      <c r="I29" s="21" t="s">
        <v>469</v>
      </c>
      <c r="J29" s="20" t="s">
        <v>458</v>
      </c>
      <c r="K29" s="50" t="s">
        <v>38</v>
      </c>
      <c r="L29" s="18">
        <v>46046.618750000001</v>
      </c>
    </row>
    <row r="30" spans="1:12" s="19" customFormat="1" ht="13.9" customHeight="1" x14ac:dyDescent="0.2">
      <c r="A30" s="40"/>
      <c r="B30" s="21"/>
      <c r="C30" s="21"/>
      <c r="D30" s="40"/>
      <c r="E30" s="79"/>
      <c r="F30" s="22"/>
      <c r="G30" s="73"/>
      <c r="H30" s="21"/>
      <c r="I30" s="21"/>
      <c r="J30" s="20"/>
      <c r="K30" s="24"/>
      <c r="L30" s="18"/>
    </row>
    <row r="31" spans="1:12" s="19" customFormat="1" ht="13.9" customHeight="1" x14ac:dyDescent="0.2">
      <c r="A31" s="40" t="s">
        <v>180</v>
      </c>
      <c r="B31" s="21" t="s">
        <v>148</v>
      </c>
      <c r="C31" s="21" t="s">
        <v>10</v>
      </c>
      <c r="D31" s="40"/>
      <c r="E31" s="79" t="s">
        <v>480</v>
      </c>
      <c r="F31" s="22"/>
      <c r="G31" s="73"/>
      <c r="H31" s="21"/>
      <c r="I31" s="21"/>
      <c r="J31" s="20"/>
      <c r="K31" s="58"/>
      <c r="L31" s="18"/>
    </row>
    <row r="32" spans="1:12" s="19" customFormat="1" ht="13.9" customHeight="1" x14ac:dyDescent="0.2">
      <c r="D32" s="40">
        <v>72993105773</v>
      </c>
      <c r="E32" s="19" t="s">
        <v>615</v>
      </c>
    </row>
    <row r="33" spans="1:12" s="19" customFormat="1" ht="13.9" customHeight="1" x14ac:dyDescent="0.2">
      <c r="A33" s="40" t="s">
        <v>180</v>
      </c>
      <c r="B33" s="21" t="s">
        <v>12</v>
      </c>
      <c r="C33" s="21" t="s">
        <v>10</v>
      </c>
      <c r="D33" s="40">
        <v>72993107000</v>
      </c>
      <c r="E33" s="40" t="s">
        <v>554</v>
      </c>
      <c r="F33" s="22"/>
      <c r="G33" s="73"/>
      <c r="H33" s="21">
        <v>2601064</v>
      </c>
      <c r="I33" s="21" t="s">
        <v>585</v>
      </c>
      <c r="J33" s="20" t="s">
        <v>458</v>
      </c>
      <c r="K33" s="50" t="s">
        <v>333</v>
      </c>
      <c r="L33" s="18">
        <v>46053.998611111114</v>
      </c>
    </row>
    <row r="34" spans="1:12" s="19" customFormat="1" ht="13.9" customHeight="1" x14ac:dyDescent="0.2">
      <c r="A34" s="40" t="s">
        <v>180</v>
      </c>
      <c r="B34" s="21" t="s">
        <v>12</v>
      </c>
      <c r="C34" s="21" t="s">
        <v>10</v>
      </c>
      <c r="D34" s="40">
        <v>72993106974</v>
      </c>
      <c r="E34" s="40" t="s">
        <v>565</v>
      </c>
      <c r="F34" s="22"/>
      <c r="G34" s="73"/>
      <c r="H34" s="21">
        <v>2601059</v>
      </c>
      <c r="I34" s="21" t="s">
        <v>585</v>
      </c>
      <c r="J34" s="20" t="s">
        <v>607</v>
      </c>
      <c r="K34" s="50" t="s">
        <v>333</v>
      </c>
      <c r="L34" s="18">
        <v>46054</v>
      </c>
    </row>
    <row r="35" spans="1:12" s="19" customFormat="1" ht="13.9" customHeight="1" x14ac:dyDescent="0.2">
      <c r="A35" s="40" t="s">
        <v>180</v>
      </c>
      <c r="B35" s="21" t="s">
        <v>12</v>
      </c>
      <c r="C35" s="21" t="s">
        <v>10</v>
      </c>
      <c r="D35" s="40">
        <v>72945867986</v>
      </c>
      <c r="E35" s="79" t="s">
        <v>556</v>
      </c>
      <c r="F35" s="22" t="s">
        <v>543</v>
      </c>
      <c r="G35" s="73" t="s">
        <v>534</v>
      </c>
      <c r="H35" s="21">
        <v>2601003</v>
      </c>
      <c r="I35" s="21" t="s">
        <v>501</v>
      </c>
      <c r="J35" s="20" t="s">
        <v>458</v>
      </c>
      <c r="K35" s="50" t="s">
        <v>614</v>
      </c>
      <c r="L35" s="18">
        <v>46053.527083333334</v>
      </c>
    </row>
    <row r="36" spans="1:12" s="19" customFormat="1" ht="13.9" customHeight="1" x14ac:dyDescent="0.2">
      <c r="A36" s="40" t="s">
        <v>180</v>
      </c>
      <c r="B36" s="21" t="s">
        <v>12</v>
      </c>
      <c r="C36" s="21" t="s">
        <v>10</v>
      </c>
      <c r="D36" s="40">
        <v>72945868933</v>
      </c>
      <c r="E36" s="21" t="s">
        <v>611</v>
      </c>
      <c r="F36" s="22" t="s">
        <v>558</v>
      </c>
      <c r="G36" s="73" t="s">
        <v>608</v>
      </c>
      <c r="H36" s="21">
        <v>2601024</v>
      </c>
      <c r="I36" s="21" t="s">
        <v>587</v>
      </c>
      <c r="J36" s="20" t="s">
        <v>458</v>
      </c>
      <c r="K36" s="50" t="s">
        <v>614</v>
      </c>
      <c r="L36" s="18">
        <v>46053.521527777775</v>
      </c>
    </row>
    <row r="37" spans="1:12" s="19" customFormat="1" ht="13.9" customHeight="1" x14ac:dyDescent="0.2">
      <c r="A37" s="40" t="s">
        <v>180</v>
      </c>
      <c r="B37" s="21" t="s">
        <v>148</v>
      </c>
      <c r="C37" s="21" t="s">
        <v>10</v>
      </c>
      <c r="D37" s="40">
        <v>72945867780</v>
      </c>
      <c r="E37" s="21" t="s">
        <v>590</v>
      </c>
      <c r="F37" s="22"/>
      <c r="G37" s="73" t="s">
        <v>609</v>
      </c>
      <c r="H37" s="21">
        <v>2601017</v>
      </c>
      <c r="I37" s="21" t="s">
        <v>588</v>
      </c>
      <c r="J37" s="20" t="s">
        <v>458</v>
      </c>
      <c r="K37" s="50" t="s">
        <v>38</v>
      </c>
      <c r="L37" s="18">
        <v>46051.600694444445</v>
      </c>
    </row>
    <row r="38" spans="1:12" s="19" customFormat="1" ht="13.9" customHeight="1" x14ac:dyDescent="0.2">
      <c r="A38" s="40" t="s">
        <v>180</v>
      </c>
      <c r="B38" s="21" t="s">
        <v>148</v>
      </c>
      <c r="C38" s="21" t="s">
        <v>10</v>
      </c>
      <c r="D38" s="40">
        <v>72945868410</v>
      </c>
      <c r="E38" s="79" t="s">
        <v>477</v>
      </c>
      <c r="F38" s="22"/>
      <c r="G38" s="73" t="s">
        <v>610</v>
      </c>
      <c r="H38" s="21">
        <v>2601018</v>
      </c>
      <c r="I38" s="21" t="s">
        <v>588</v>
      </c>
      <c r="J38" s="20" t="s">
        <v>458</v>
      </c>
      <c r="K38" s="50" t="s">
        <v>38</v>
      </c>
      <c r="L38" s="18">
        <v>46052.880555555559</v>
      </c>
    </row>
    <row r="39" spans="1:12" s="19" customFormat="1" ht="13.9" customHeight="1" x14ac:dyDescent="0.25">
      <c r="J39" s="19">
        <v>5</v>
      </c>
      <c r="K39" s="101" t="s">
        <v>650</v>
      </c>
    </row>
    <row r="40" spans="1:12" s="19" customFormat="1" ht="13.9" customHeight="1" x14ac:dyDescent="0.25">
      <c r="J40" s="19">
        <v>4</v>
      </c>
      <c r="K40" s="101" t="s">
        <v>651</v>
      </c>
    </row>
    <row r="41" spans="1:12" s="19" customFormat="1" ht="13.9" customHeight="1" x14ac:dyDescent="0.25">
      <c r="J41" s="19">
        <v>3</v>
      </c>
      <c r="K41" s="101" t="s">
        <v>652</v>
      </c>
    </row>
    <row r="42" spans="1:12" s="19" customFormat="1" ht="13.9" customHeight="1" x14ac:dyDescent="0.25">
      <c r="J42" s="19">
        <v>2</v>
      </c>
      <c r="K42" s="101" t="s">
        <v>653</v>
      </c>
    </row>
    <row r="43" spans="1:12" s="19" customFormat="1" ht="13.9" customHeight="1" x14ac:dyDescent="0.25">
      <c r="J43" s="19">
        <v>1</v>
      </c>
      <c r="K43" s="101" t="s">
        <v>654</v>
      </c>
    </row>
    <row r="44" spans="1:12" s="17" customFormat="1" ht="13.9" customHeight="1" x14ac:dyDescent="0.2">
      <c r="A44" s="40" t="s">
        <v>180</v>
      </c>
      <c r="B44" s="21" t="s">
        <v>15</v>
      </c>
      <c r="C44" s="21" t="s">
        <v>16</v>
      </c>
      <c r="D44" s="23">
        <v>72991102340</v>
      </c>
      <c r="E44" s="23" t="s">
        <v>618</v>
      </c>
      <c r="F44" s="22"/>
      <c r="G44" s="23"/>
      <c r="H44" s="23">
        <v>2601067</v>
      </c>
      <c r="I44" s="23"/>
      <c r="J44" s="20" t="s">
        <v>11</v>
      </c>
      <c r="K44" s="29" t="s">
        <v>367</v>
      </c>
      <c r="L44" s="23"/>
    </row>
    <row r="45" spans="1:12" s="19" customFormat="1" ht="13.9" customHeight="1" x14ac:dyDescent="0.2">
      <c r="A45" s="40" t="s">
        <v>180</v>
      </c>
      <c r="B45" s="21" t="s">
        <v>15</v>
      </c>
      <c r="C45" s="21" t="s">
        <v>16</v>
      </c>
      <c r="D45" s="21">
        <v>72991102351</v>
      </c>
      <c r="E45" s="21" t="s">
        <v>619</v>
      </c>
      <c r="F45" s="22"/>
      <c r="G45" s="22"/>
      <c r="H45" s="21">
        <v>2601068</v>
      </c>
      <c r="I45" s="21"/>
      <c r="J45" s="20" t="s">
        <v>11</v>
      </c>
      <c r="K45" s="29" t="s">
        <v>367</v>
      </c>
      <c r="L45" s="21"/>
    </row>
    <row r="46" spans="1:12" s="19" customFormat="1" ht="13.9" customHeight="1" x14ac:dyDescent="0.2">
      <c r="A46" s="40" t="s">
        <v>180</v>
      </c>
      <c r="B46" s="21" t="s">
        <v>15</v>
      </c>
      <c r="C46" s="21" t="s">
        <v>16</v>
      </c>
      <c r="D46" s="21">
        <v>72991102384</v>
      </c>
      <c r="E46" s="21" t="s">
        <v>620</v>
      </c>
      <c r="F46" s="22"/>
      <c r="G46" s="22"/>
      <c r="H46" s="21">
        <v>2601069</v>
      </c>
      <c r="I46" s="21"/>
      <c r="J46" s="20" t="s">
        <v>11</v>
      </c>
      <c r="K46" s="29" t="s">
        <v>367</v>
      </c>
      <c r="L46" s="21"/>
    </row>
    <row r="47" spans="1:12" s="19" customFormat="1" ht="13.9" customHeight="1" x14ac:dyDescent="0.2">
      <c r="A47" s="40" t="s">
        <v>180</v>
      </c>
      <c r="B47" s="21" t="s">
        <v>15</v>
      </c>
      <c r="C47" s="21" t="s">
        <v>16</v>
      </c>
      <c r="D47" s="21">
        <v>72991102292</v>
      </c>
      <c r="E47" s="21" t="s">
        <v>578</v>
      </c>
      <c r="F47" s="22" t="s">
        <v>617</v>
      </c>
      <c r="G47" s="22"/>
      <c r="H47" s="21">
        <v>2601066</v>
      </c>
      <c r="I47" s="21"/>
      <c r="J47" s="20" t="s">
        <v>11</v>
      </c>
      <c r="K47" s="29" t="s">
        <v>367</v>
      </c>
      <c r="L47" s="18"/>
    </row>
    <row r="48" spans="1:12" s="19" customFormat="1" ht="13.9" customHeight="1" x14ac:dyDescent="0.2">
      <c r="A48" s="40" t="s">
        <v>180</v>
      </c>
      <c r="B48" s="21" t="s">
        <v>12</v>
      </c>
      <c r="C48" s="21" t="s">
        <v>10</v>
      </c>
      <c r="D48" s="40">
        <v>72993107081</v>
      </c>
      <c r="E48" s="40" t="s">
        <v>592</v>
      </c>
      <c r="F48" s="22" t="s">
        <v>627</v>
      </c>
      <c r="G48" s="73" t="s">
        <v>630</v>
      </c>
      <c r="H48" s="21">
        <v>2601073</v>
      </c>
      <c r="I48" s="21" t="s">
        <v>584</v>
      </c>
      <c r="J48" s="20" t="s">
        <v>458</v>
      </c>
      <c r="K48" s="50" t="s">
        <v>333</v>
      </c>
      <c r="L48" s="18">
        <v>46055.683333333334</v>
      </c>
    </row>
    <row r="49" spans="1:13" s="19" customFormat="1" ht="13.9" customHeight="1" x14ac:dyDescent="0.2">
      <c r="A49" s="40" t="s">
        <v>180</v>
      </c>
      <c r="B49" s="21" t="s">
        <v>12</v>
      </c>
      <c r="C49" s="21" t="s">
        <v>10</v>
      </c>
      <c r="D49" s="102">
        <v>20231480621</v>
      </c>
      <c r="E49" s="40" t="s">
        <v>564</v>
      </c>
      <c r="F49" s="22" t="s">
        <v>628</v>
      </c>
      <c r="G49" s="73" t="s">
        <v>629</v>
      </c>
      <c r="H49" s="21">
        <v>2601080</v>
      </c>
      <c r="I49" s="21" t="s">
        <v>586</v>
      </c>
      <c r="J49" s="20" t="s">
        <v>458</v>
      </c>
      <c r="K49" s="50" t="s">
        <v>333</v>
      </c>
      <c r="L49" s="18">
        <v>46055.727777777778</v>
      </c>
    </row>
    <row r="50" spans="1:13" s="19" customFormat="1" ht="13.9" customHeight="1" x14ac:dyDescent="0.2">
      <c r="A50" s="40" t="s">
        <v>180</v>
      </c>
      <c r="B50" s="21" t="s">
        <v>12</v>
      </c>
      <c r="C50" s="21" t="s">
        <v>10</v>
      </c>
      <c r="D50" s="102">
        <v>72993107151</v>
      </c>
      <c r="E50" s="40" t="s">
        <v>633</v>
      </c>
      <c r="F50" s="22" t="s">
        <v>640</v>
      </c>
      <c r="G50" s="73" t="s">
        <v>641</v>
      </c>
      <c r="H50" s="21">
        <v>2601093</v>
      </c>
      <c r="I50" s="21" t="s">
        <v>621</v>
      </c>
      <c r="J50" s="20" t="s">
        <v>458</v>
      </c>
      <c r="K50" s="50" t="s">
        <v>309</v>
      </c>
      <c r="L50" s="18">
        <v>46056.447916666664</v>
      </c>
    </row>
    <row r="51" spans="1:13" s="19" customFormat="1" ht="13.9" customHeight="1" x14ac:dyDescent="0.2">
      <c r="A51" s="40" t="s">
        <v>180</v>
      </c>
      <c r="B51" s="21" t="s">
        <v>684</v>
      </c>
      <c r="C51" s="21" t="s">
        <v>10</v>
      </c>
      <c r="D51" s="40">
        <v>72993107114</v>
      </c>
      <c r="E51" s="40" t="s">
        <v>635</v>
      </c>
      <c r="F51" s="22" t="s">
        <v>665</v>
      </c>
      <c r="G51" s="73" t="s">
        <v>666</v>
      </c>
      <c r="H51" s="21">
        <v>2601110</v>
      </c>
      <c r="I51" s="21" t="s">
        <v>644</v>
      </c>
      <c r="J51" s="20" t="s">
        <v>458</v>
      </c>
      <c r="K51" s="140" t="s">
        <v>333</v>
      </c>
      <c r="L51" s="18">
        <v>46056.544444444444</v>
      </c>
    </row>
    <row r="52" spans="1:13" s="19" customFormat="1" ht="13.9" customHeight="1" x14ac:dyDescent="0.2">
      <c r="A52" s="40" t="s">
        <v>180</v>
      </c>
      <c r="B52" s="21" t="s">
        <v>684</v>
      </c>
      <c r="C52" s="21" t="s">
        <v>10</v>
      </c>
      <c r="D52" s="102">
        <v>20231480691</v>
      </c>
      <c r="E52" s="40" t="s">
        <v>616</v>
      </c>
      <c r="F52" s="22" t="s">
        <v>690</v>
      </c>
      <c r="G52" s="73" t="s">
        <v>688</v>
      </c>
      <c r="H52" s="21">
        <v>2601120</v>
      </c>
      <c r="I52" s="21" t="s">
        <v>662</v>
      </c>
      <c r="J52" s="20" t="s">
        <v>458</v>
      </c>
      <c r="K52" s="140" t="s">
        <v>333</v>
      </c>
      <c r="L52" s="18">
        <v>46057.609027777777</v>
      </c>
    </row>
    <row r="53" spans="1:13" s="19" customFormat="1" ht="13.9" customHeight="1" x14ac:dyDescent="0.2">
      <c r="A53" s="40" t="s">
        <v>180</v>
      </c>
      <c r="B53" s="21" t="s">
        <v>684</v>
      </c>
      <c r="C53" s="21" t="s">
        <v>10</v>
      </c>
      <c r="D53" s="40">
        <v>72993107140</v>
      </c>
      <c r="E53" s="40" t="s">
        <v>634</v>
      </c>
      <c r="F53" s="22" t="s">
        <v>691</v>
      </c>
      <c r="G53" s="73" t="s">
        <v>687</v>
      </c>
      <c r="H53" s="21">
        <v>2601109</v>
      </c>
      <c r="I53" s="21" t="s">
        <v>643</v>
      </c>
      <c r="J53" s="20" t="s">
        <v>458</v>
      </c>
      <c r="K53" s="140" t="s">
        <v>333</v>
      </c>
      <c r="L53" s="18">
        <v>46056.436111111114</v>
      </c>
    </row>
    <row r="54" spans="1:13" s="19" customFormat="1" ht="13.9" customHeight="1" x14ac:dyDescent="0.2">
      <c r="A54" s="40" t="s">
        <v>180</v>
      </c>
      <c r="B54" s="21" t="s">
        <v>684</v>
      </c>
      <c r="C54" s="21" t="s">
        <v>10</v>
      </c>
      <c r="D54" s="102">
        <v>72993107162</v>
      </c>
      <c r="E54" s="40" t="s">
        <v>637</v>
      </c>
      <c r="F54" s="22" t="s">
        <v>729</v>
      </c>
      <c r="G54" s="73" t="s">
        <v>731</v>
      </c>
      <c r="H54" s="21">
        <v>2601112</v>
      </c>
      <c r="I54" s="21" t="s">
        <v>663</v>
      </c>
      <c r="J54" s="20" t="s">
        <v>458</v>
      </c>
      <c r="K54" s="140" t="s">
        <v>309</v>
      </c>
      <c r="L54" s="18">
        <v>46056.724999999999</v>
      </c>
    </row>
    <row r="55" spans="1:13" s="19" customFormat="1" ht="13.9" customHeight="1" x14ac:dyDescent="0.2">
      <c r="A55" s="40" t="s">
        <v>180</v>
      </c>
      <c r="B55" s="21" t="s">
        <v>684</v>
      </c>
      <c r="C55" s="21" t="s">
        <v>10</v>
      </c>
      <c r="D55" s="102">
        <v>72993107243</v>
      </c>
      <c r="E55" s="40" t="s">
        <v>638</v>
      </c>
      <c r="F55" s="22" t="s">
        <v>730</v>
      </c>
      <c r="G55" s="73" t="s">
        <v>732</v>
      </c>
      <c r="H55" s="21">
        <v>2601115</v>
      </c>
      <c r="I55" s="21" t="s">
        <v>664</v>
      </c>
      <c r="J55" s="20" t="s">
        <v>458</v>
      </c>
      <c r="K55" s="140" t="s">
        <v>309</v>
      </c>
      <c r="L55" s="18">
        <v>46056.8125</v>
      </c>
    </row>
    <row r="56" spans="1:13" s="19" customFormat="1" ht="13.9" customHeight="1" x14ac:dyDescent="0.2">
      <c r="A56" s="40" t="s">
        <v>180</v>
      </c>
      <c r="B56" s="21" t="s">
        <v>686</v>
      </c>
      <c r="C56" s="21" t="s">
        <v>631</v>
      </c>
      <c r="D56" s="21">
        <v>72991082095</v>
      </c>
      <c r="E56" s="21" t="s">
        <v>655</v>
      </c>
      <c r="F56" s="22" t="s">
        <v>695</v>
      </c>
      <c r="G56" s="22"/>
      <c r="H56" s="21">
        <v>2601107</v>
      </c>
      <c r="I56" s="21"/>
      <c r="J56" s="20" t="s">
        <v>11</v>
      </c>
      <c r="K56" s="142" t="s">
        <v>367</v>
      </c>
      <c r="L56" s="18"/>
      <c r="M56" s="124"/>
    </row>
    <row r="57" spans="1:13" s="19" customFormat="1" ht="13.9" customHeight="1" x14ac:dyDescent="0.2">
      <c r="A57" s="40" t="s">
        <v>180</v>
      </c>
      <c r="B57" s="21" t="s">
        <v>686</v>
      </c>
      <c r="C57" s="21" t="s">
        <v>631</v>
      </c>
      <c r="D57" s="21">
        <v>72991102465</v>
      </c>
      <c r="E57" s="21" t="s">
        <v>656</v>
      </c>
      <c r="F57" s="22" t="s">
        <v>696</v>
      </c>
      <c r="G57" s="22"/>
      <c r="H57" s="21">
        <v>2601106</v>
      </c>
      <c r="I57" s="21"/>
      <c r="J57" s="20" t="s">
        <v>11</v>
      </c>
      <c r="K57" s="142" t="s">
        <v>367</v>
      </c>
      <c r="L57" s="18"/>
      <c r="M57" s="124"/>
    </row>
    <row r="58" spans="1:13" s="19" customFormat="1" ht="13.9" customHeight="1" x14ac:dyDescent="0.2">
      <c r="A58" s="40" t="s">
        <v>180</v>
      </c>
      <c r="B58" s="21" t="s">
        <v>686</v>
      </c>
      <c r="C58" s="21" t="s">
        <v>631</v>
      </c>
      <c r="D58" s="21">
        <v>72991102432</v>
      </c>
      <c r="E58" s="21" t="s">
        <v>657</v>
      </c>
      <c r="F58" s="22" t="s">
        <v>697</v>
      </c>
      <c r="G58" s="22"/>
      <c r="H58" s="21">
        <v>2601105</v>
      </c>
      <c r="I58" s="21"/>
      <c r="J58" s="20" t="s">
        <v>11</v>
      </c>
      <c r="K58" s="142" t="s">
        <v>367</v>
      </c>
      <c r="L58" s="18"/>
      <c r="M58" s="124"/>
    </row>
    <row r="59" spans="1:13" s="19" customFormat="1" ht="13.9" customHeight="1" x14ac:dyDescent="0.2">
      <c r="A59" s="40" t="s">
        <v>180</v>
      </c>
      <c r="B59" s="21" t="s">
        <v>686</v>
      </c>
      <c r="C59" s="21" t="s">
        <v>631</v>
      </c>
      <c r="D59" s="21">
        <v>72991102421</v>
      </c>
      <c r="E59" s="21" t="s">
        <v>658</v>
      </c>
      <c r="F59" s="22" t="s">
        <v>698</v>
      </c>
      <c r="G59" s="22"/>
      <c r="H59" s="21">
        <v>2601104</v>
      </c>
      <c r="I59" s="21"/>
      <c r="J59" s="20" t="s">
        <v>11</v>
      </c>
      <c r="K59" s="142" t="s">
        <v>367</v>
      </c>
      <c r="L59" s="18"/>
      <c r="M59" s="124"/>
    </row>
    <row r="60" spans="1:13" s="19" customFormat="1" ht="13.9" customHeight="1" x14ac:dyDescent="0.2">
      <c r="A60" s="40" t="s">
        <v>180</v>
      </c>
      <c r="B60" s="21" t="s">
        <v>686</v>
      </c>
      <c r="C60" s="21" t="s">
        <v>631</v>
      </c>
      <c r="D60" s="21">
        <v>72991102406</v>
      </c>
      <c r="E60" s="21" t="s">
        <v>659</v>
      </c>
      <c r="F60" s="22" t="s">
        <v>699</v>
      </c>
      <c r="G60" s="22"/>
      <c r="H60" s="21">
        <v>2601103</v>
      </c>
      <c r="I60" s="21"/>
      <c r="J60" s="20" t="s">
        <v>11</v>
      </c>
      <c r="K60" s="142" t="s">
        <v>367</v>
      </c>
      <c r="L60" s="18"/>
      <c r="M60" s="124"/>
    </row>
    <row r="61" spans="1:13" s="19" customFormat="1" ht="13.9" customHeight="1" x14ac:dyDescent="0.2">
      <c r="A61" s="40" t="s">
        <v>180</v>
      </c>
      <c r="B61" s="21" t="s">
        <v>686</v>
      </c>
      <c r="C61" s="21" t="s">
        <v>631</v>
      </c>
      <c r="D61" s="21">
        <v>72991102454</v>
      </c>
      <c r="E61" s="21" t="s">
        <v>660</v>
      </c>
      <c r="F61" s="22" t="s">
        <v>700</v>
      </c>
      <c r="G61" s="22"/>
      <c r="H61" s="21">
        <v>2601102</v>
      </c>
      <c r="I61" s="21"/>
      <c r="J61" s="20" t="s">
        <v>11</v>
      </c>
      <c r="K61" s="142" t="s">
        <v>367</v>
      </c>
      <c r="L61" s="18"/>
      <c r="M61" s="124"/>
    </row>
    <row r="62" spans="1:13" s="19" customFormat="1" ht="13.9" customHeight="1" thickBot="1" x14ac:dyDescent="0.25">
      <c r="A62" s="40" t="s">
        <v>180</v>
      </c>
      <c r="B62" s="21" t="s">
        <v>686</v>
      </c>
      <c r="C62" s="21" t="s">
        <v>631</v>
      </c>
      <c r="D62" s="21">
        <v>72991102443</v>
      </c>
      <c r="E62" s="21" t="s">
        <v>661</v>
      </c>
      <c r="F62" s="22" t="s">
        <v>701</v>
      </c>
      <c r="G62" s="22"/>
      <c r="H62" s="21">
        <v>2601100</v>
      </c>
      <c r="I62" s="21"/>
      <c r="J62" s="20" t="s">
        <v>11</v>
      </c>
      <c r="K62" s="142" t="s">
        <v>367</v>
      </c>
      <c r="L62" s="18"/>
      <c r="M62" s="127"/>
    </row>
  </sheetData>
  <conditionalFormatting sqref="D1">
    <cfRule type="duplicateValues" dxfId="23" priority="13"/>
    <cfRule type="duplicateValues" dxfId="22" priority="14"/>
    <cfRule type="duplicateValues" dxfId="21" priority="16"/>
  </conditionalFormatting>
  <conditionalFormatting sqref="D36:D37 D32 D2:E5 D18:E31 D38:E38 D33:E35 D48:E50">
    <cfRule type="duplicateValues" dxfId="20" priority="18"/>
  </conditionalFormatting>
  <conditionalFormatting sqref="D36:D37 D2:E5 D18:E31 D38:E38 D32 D33:E35 D48:E50">
    <cfRule type="duplicateValues" dxfId="19" priority="19"/>
  </conditionalFormatting>
  <conditionalFormatting sqref="D47:D50 D2:D43">
    <cfRule type="duplicateValues" dxfId="18" priority="23"/>
  </conditionalFormatting>
  <conditionalFormatting sqref="D48:D50 D2:D5 D18:D38">
    <cfRule type="duplicateValues" dxfId="17" priority="20"/>
  </conditionalFormatting>
  <conditionalFormatting sqref="D48:D50">
    <cfRule type="duplicateValues" dxfId="16" priority="21"/>
  </conditionalFormatting>
  <conditionalFormatting sqref="D51:D55">
    <cfRule type="duplicateValues" dxfId="15" priority="2"/>
    <cfRule type="duplicateValues" dxfId="14" priority="3"/>
    <cfRule type="duplicateValues" dxfId="13" priority="4"/>
    <cfRule type="duplicateValues" dxfId="12" priority="9"/>
  </conditionalFormatting>
  <conditionalFormatting sqref="D56:D62">
    <cfRule type="duplicateValues" dxfId="11" priority="1"/>
  </conditionalFormatting>
  <conditionalFormatting sqref="D1:E1">
    <cfRule type="duplicateValues" dxfId="10" priority="10"/>
    <cfRule type="duplicateValues" dxfId="9" priority="11"/>
    <cfRule type="duplicateValues" dxfId="8" priority="12"/>
  </conditionalFormatting>
  <conditionalFormatting sqref="D49:E50 D2:E5">
    <cfRule type="duplicateValues" dxfId="7" priority="17"/>
  </conditionalFormatting>
  <conditionalFormatting sqref="D51:E55">
    <cfRule type="duplicateValues" dxfId="6" priority="5"/>
    <cfRule type="duplicateValues" dxfId="5" priority="6"/>
  </conditionalFormatting>
  <conditionalFormatting sqref="E51:E55">
    <cfRule type="duplicateValues" dxfId="4" priority="8"/>
  </conditionalFormatting>
  <conditionalFormatting sqref="H1">
    <cfRule type="duplicateValues" dxfId="3" priority="15"/>
  </conditionalFormatting>
  <conditionalFormatting sqref="H48:H50 H33:H38 H2:H5 H18:H31">
    <cfRule type="duplicateValues" dxfId="2" priority="22"/>
  </conditionalFormatting>
  <conditionalFormatting sqref="H51:H55">
    <cfRule type="duplicateValues" dxfId="1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7544-34DD-4A7D-926E-72A6EFA96DCE}">
  <dimension ref="A1:N34"/>
  <sheetViews>
    <sheetView workbookViewId="0">
      <selection activeCell="E12" sqref="E12"/>
    </sheetView>
  </sheetViews>
  <sheetFormatPr baseColWidth="10" defaultColWidth="11.5703125" defaultRowHeight="15" x14ac:dyDescent="0.25"/>
  <cols>
    <col min="1" max="1" width="26.42578125" style="82" bestFit="1" customWidth="1"/>
    <col min="2" max="7" width="11.5703125" style="82"/>
    <col min="8" max="8" width="11.5703125" style="88"/>
    <col min="9" max="16384" width="11.5703125" style="82"/>
  </cols>
  <sheetData>
    <row r="1" spans="1:14" x14ac:dyDescent="0.25">
      <c r="B1" s="82" t="s">
        <v>459</v>
      </c>
      <c r="C1" s="82" t="s">
        <v>460</v>
      </c>
      <c r="D1" s="82" t="s">
        <v>463</v>
      </c>
    </row>
    <row r="2" spans="1:14" x14ac:dyDescent="0.25">
      <c r="A2" s="84">
        <v>46049</v>
      </c>
      <c r="B2" s="83">
        <v>0.33680555555555558</v>
      </c>
      <c r="C2" s="83">
        <v>0.34513888888888888</v>
      </c>
      <c r="D2" s="83">
        <v>0.34097222222222223</v>
      </c>
      <c r="H2" s="90">
        <v>2848</v>
      </c>
    </row>
    <row r="3" spans="1:14" x14ac:dyDescent="0.25">
      <c r="A3" s="84">
        <v>46050</v>
      </c>
      <c r="B3" s="82" t="s">
        <v>613</v>
      </c>
      <c r="C3" s="82" t="s">
        <v>464</v>
      </c>
      <c r="D3" s="83">
        <v>0.33333333333333331</v>
      </c>
    </row>
    <row r="4" spans="1:14" x14ac:dyDescent="0.25">
      <c r="A4" s="84">
        <v>46056</v>
      </c>
      <c r="B4" s="83">
        <v>0.34375</v>
      </c>
      <c r="C4" s="83">
        <v>0.36458333333333331</v>
      </c>
      <c r="D4" s="83">
        <v>0.33333333333333331</v>
      </c>
      <c r="G4" s="87">
        <v>45766</v>
      </c>
      <c r="I4" s="92">
        <v>400</v>
      </c>
      <c r="J4" s="94"/>
      <c r="K4" s="87">
        <v>45771</v>
      </c>
      <c r="L4" s="88" t="s">
        <v>516</v>
      </c>
      <c r="M4" s="89">
        <v>50</v>
      </c>
    </row>
    <row r="5" spans="1:14" x14ac:dyDescent="0.25">
      <c r="A5" s="84">
        <v>46057</v>
      </c>
      <c r="B5" s="82" t="s">
        <v>612</v>
      </c>
      <c r="C5" s="83">
        <v>0.34861111111111109</v>
      </c>
      <c r="D5" s="83">
        <v>0.34027777777777779</v>
      </c>
      <c r="G5" s="87">
        <v>45766</v>
      </c>
      <c r="I5" s="92">
        <v>150</v>
      </c>
      <c r="J5" s="94"/>
      <c r="K5" s="87">
        <v>45876</v>
      </c>
      <c r="L5" s="88" t="s">
        <v>513</v>
      </c>
      <c r="M5" s="82">
        <v>16</v>
      </c>
    </row>
    <row r="6" spans="1:14" x14ac:dyDescent="0.25">
      <c r="A6" s="84">
        <v>46058</v>
      </c>
      <c r="B6" s="83">
        <v>0.34027777777777779</v>
      </c>
      <c r="C6" s="82" t="s">
        <v>674</v>
      </c>
      <c r="D6" s="83">
        <v>0.34027777777777779</v>
      </c>
      <c r="G6" s="87">
        <v>45807</v>
      </c>
      <c r="H6" s="88" t="s">
        <v>515</v>
      </c>
      <c r="I6" s="92">
        <v>150</v>
      </c>
      <c r="J6" s="94"/>
      <c r="K6" s="87">
        <v>45810</v>
      </c>
      <c r="L6" s="82" t="s">
        <v>514</v>
      </c>
    </row>
    <row r="7" spans="1:14" x14ac:dyDescent="0.25">
      <c r="A7" s="84">
        <v>46059</v>
      </c>
      <c r="B7" s="83">
        <v>0.34375</v>
      </c>
      <c r="C7" s="83">
        <v>0.3611111111111111</v>
      </c>
      <c r="D7" s="83">
        <v>0.34375</v>
      </c>
      <c r="E7" s="82" t="s">
        <v>739</v>
      </c>
      <c r="G7" s="87">
        <v>45809</v>
      </c>
      <c r="I7" s="92">
        <v>150</v>
      </c>
      <c r="J7" s="94"/>
      <c r="K7" s="87">
        <v>45876</v>
      </c>
      <c r="L7" s="88" t="s">
        <v>512</v>
      </c>
      <c r="M7" s="82">
        <v>379.83</v>
      </c>
      <c r="N7" s="82" t="s">
        <v>517</v>
      </c>
    </row>
    <row r="8" spans="1:14" x14ac:dyDescent="0.25">
      <c r="A8" s="84"/>
      <c r="G8" s="87">
        <v>45839</v>
      </c>
      <c r="I8" s="92">
        <v>150</v>
      </c>
      <c r="J8" s="94"/>
    </row>
    <row r="9" spans="1:14" x14ac:dyDescent="0.25">
      <c r="A9" s="84"/>
      <c r="G9" s="87">
        <v>45899</v>
      </c>
      <c r="H9" s="88" t="s">
        <v>511</v>
      </c>
      <c r="I9" s="93">
        <v>150</v>
      </c>
      <c r="J9" s="94"/>
    </row>
    <row r="10" spans="1:14" x14ac:dyDescent="0.25">
      <c r="A10" s="84"/>
      <c r="G10" s="87">
        <v>45901</v>
      </c>
      <c r="H10" s="88" t="s">
        <v>510</v>
      </c>
      <c r="I10" s="93">
        <v>150</v>
      </c>
      <c r="J10" s="94"/>
    </row>
    <row r="11" spans="1:14" x14ac:dyDescent="0.25">
      <c r="A11" s="84"/>
      <c r="G11" s="87">
        <v>45931</v>
      </c>
      <c r="H11" s="88" t="s">
        <v>509</v>
      </c>
      <c r="I11" s="93">
        <v>150</v>
      </c>
      <c r="J11" s="94"/>
    </row>
    <row r="12" spans="1:14" x14ac:dyDescent="0.25">
      <c r="A12" s="84"/>
      <c r="G12" s="87">
        <v>45961</v>
      </c>
      <c r="H12" s="88" t="s">
        <v>508</v>
      </c>
      <c r="I12" s="93">
        <v>150</v>
      </c>
      <c r="J12" s="94"/>
    </row>
    <row r="13" spans="1:14" x14ac:dyDescent="0.25">
      <c r="A13" s="84"/>
      <c r="G13" s="87">
        <v>45991</v>
      </c>
      <c r="H13" s="88" t="s">
        <v>507</v>
      </c>
      <c r="I13" s="93">
        <v>150</v>
      </c>
      <c r="J13" s="94"/>
    </row>
    <row r="14" spans="1:14" x14ac:dyDescent="0.25">
      <c r="A14" s="84"/>
      <c r="G14" s="87">
        <v>46023</v>
      </c>
      <c r="H14" s="88" t="s">
        <v>506</v>
      </c>
      <c r="I14" s="93">
        <v>150</v>
      </c>
      <c r="J14" s="94"/>
    </row>
    <row r="15" spans="1:14" x14ac:dyDescent="0.25">
      <c r="A15" s="84"/>
      <c r="G15" s="87">
        <v>46053</v>
      </c>
      <c r="H15" s="88" t="s">
        <v>518</v>
      </c>
      <c r="I15" s="93">
        <v>150</v>
      </c>
      <c r="J15" s="94"/>
    </row>
    <row r="16" spans="1:14" x14ac:dyDescent="0.25">
      <c r="A16" s="84"/>
      <c r="G16" s="82" t="s">
        <v>519</v>
      </c>
      <c r="I16" s="89">
        <v>150</v>
      </c>
      <c r="J16" s="94"/>
    </row>
    <row r="17" spans="1:12" x14ac:dyDescent="0.25">
      <c r="A17" s="84"/>
      <c r="G17" s="82" t="s">
        <v>520</v>
      </c>
      <c r="I17" s="89">
        <v>150</v>
      </c>
      <c r="J17" s="94"/>
    </row>
    <row r="18" spans="1:12" x14ac:dyDescent="0.25">
      <c r="A18" s="84"/>
      <c r="G18" s="82" t="s">
        <v>521</v>
      </c>
      <c r="I18" s="89">
        <v>150</v>
      </c>
      <c r="J18" s="94">
        <v>150</v>
      </c>
      <c r="L18" s="94">
        <v>90</v>
      </c>
    </row>
    <row r="19" spans="1:12" x14ac:dyDescent="0.25">
      <c r="A19" s="84"/>
      <c r="G19" s="82" t="s">
        <v>522</v>
      </c>
      <c r="I19" s="89">
        <v>150</v>
      </c>
      <c r="J19" s="94">
        <v>150</v>
      </c>
      <c r="L19" s="94">
        <v>50</v>
      </c>
    </row>
    <row r="20" spans="1:12" x14ac:dyDescent="0.25">
      <c r="A20" s="84"/>
      <c r="G20" s="82" t="s">
        <v>523</v>
      </c>
      <c r="I20" s="89">
        <v>150</v>
      </c>
      <c r="J20" s="94">
        <v>150</v>
      </c>
      <c r="L20" s="94">
        <v>150</v>
      </c>
    </row>
    <row r="21" spans="1:12" x14ac:dyDescent="0.25">
      <c r="A21" s="84"/>
      <c r="G21" s="82" t="s">
        <v>524</v>
      </c>
      <c r="I21" s="89">
        <v>100</v>
      </c>
      <c r="J21" s="94">
        <v>200</v>
      </c>
      <c r="L21" s="94">
        <v>200</v>
      </c>
    </row>
    <row r="22" spans="1:12" x14ac:dyDescent="0.25">
      <c r="A22" s="84"/>
      <c r="G22" s="82" t="s">
        <v>525</v>
      </c>
      <c r="J22" s="94">
        <v>300</v>
      </c>
      <c r="L22" s="94">
        <v>350</v>
      </c>
    </row>
    <row r="23" spans="1:12" x14ac:dyDescent="0.25">
      <c r="A23" s="84"/>
      <c r="G23" s="82" t="s">
        <v>526</v>
      </c>
      <c r="I23" s="89"/>
      <c r="J23" s="94">
        <v>300</v>
      </c>
      <c r="L23" s="94">
        <v>50</v>
      </c>
    </row>
    <row r="24" spans="1:12" x14ac:dyDescent="0.25">
      <c r="A24" s="84"/>
      <c r="G24" s="82" t="s">
        <v>527</v>
      </c>
      <c r="I24" s="89"/>
      <c r="J24" s="94">
        <v>300</v>
      </c>
      <c r="L24" s="94">
        <v>100</v>
      </c>
    </row>
    <row r="25" spans="1:12" x14ac:dyDescent="0.25">
      <c r="A25" s="84"/>
      <c r="G25" s="82" t="s">
        <v>528</v>
      </c>
      <c r="I25" s="89"/>
      <c r="J25" s="94">
        <v>300</v>
      </c>
      <c r="L25" s="94">
        <v>200</v>
      </c>
    </row>
    <row r="26" spans="1:12" s="95" customFormat="1" x14ac:dyDescent="0.25">
      <c r="A26" s="96"/>
      <c r="G26" s="95" t="s">
        <v>529</v>
      </c>
      <c r="H26" s="97"/>
      <c r="I26" s="89"/>
      <c r="J26" s="94">
        <v>300</v>
      </c>
      <c r="L26" s="94">
        <v>100</v>
      </c>
    </row>
    <row r="27" spans="1:12" x14ac:dyDescent="0.25">
      <c r="A27" s="84"/>
      <c r="I27" s="91">
        <f>SUM(I4:I22)</f>
        <v>2900</v>
      </c>
      <c r="J27" s="91">
        <f>SUM(J4:J26)</f>
        <v>2150</v>
      </c>
      <c r="L27" s="91">
        <f>SUM(L8:L26)</f>
        <v>1290</v>
      </c>
    </row>
    <row r="28" spans="1:12" x14ac:dyDescent="0.25">
      <c r="A28" s="84"/>
    </row>
    <row r="29" spans="1:12" x14ac:dyDescent="0.25">
      <c r="A29" s="84"/>
    </row>
    <row r="30" spans="1:12" x14ac:dyDescent="0.25">
      <c r="A30" s="84"/>
    </row>
    <row r="31" spans="1:12" x14ac:dyDescent="0.25">
      <c r="A31" s="84"/>
    </row>
    <row r="32" spans="1:12" x14ac:dyDescent="0.25">
      <c r="A32" s="84"/>
    </row>
    <row r="33" spans="1:1" x14ac:dyDescent="0.25">
      <c r="A33" s="84"/>
    </row>
    <row r="34" spans="1:1" x14ac:dyDescent="0.25">
      <c r="A34" s="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DD5C-AC62-44D1-9A0B-0CA333345F75}">
  <dimension ref="A1:I16"/>
  <sheetViews>
    <sheetView workbookViewId="0">
      <selection activeCell="I22" sqref="I22"/>
    </sheetView>
  </sheetViews>
  <sheetFormatPr baseColWidth="10" defaultRowHeight="15" x14ac:dyDescent="0.25"/>
  <cols>
    <col min="1" max="1" width="16.28515625" customWidth="1"/>
    <col min="2" max="2" width="12.7109375" customWidth="1"/>
    <col min="3" max="3" width="18.140625" customWidth="1"/>
    <col min="4" max="4" width="29.28515625" customWidth="1"/>
    <col min="5" max="5" width="7.42578125" customWidth="1"/>
    <col min="6" max="6" width="26.140625" customWidth="1"/>
    <col min="7" max="7" width="21.7109375" customWidth="1"/>
    <col min="9" max="9" width="29.7109375" customWidth="1"/>
  </cols>
  <sheetData>
    <row r="1" spans="1:9" ht="15.75" thickBot="1" x14ac:dyDescent="0.3"/>
    <row r="2" spans="1:9" x14ac:dyDescent="0.25">
      <c r="A2" s="43" t="s">
        <v>165</v>
      </c>
      <c r="B2" s="43" t="s">
        <v>170</v>
      </c>
      <c r="C2" s="43" t="s">
        <v>171</v>
      </c>
      <c r="D2" s="43" t="s">
        <v>172</v>
      </c>
      <c r="E2" s="44" t="s">
        <v>173</v>
      </c>
      <c r="F2" s="44" t="s">
        <v>190</v>
      </c>
      <c r="G2" s="44" t="s">
        <v>194</v>
      </c>
    </row>
    <row r="3" spans="1:9" x14ac:dyDescent="0.25">
      <c r="A3" s="45" t="s">
        <v>181</v>
      </c>
      <c r="B3" s="30" t="s">
        <v>182</v>
      </c>
      <c r="C3" s="30" t="s">
        <v>183</v>
      </c>
      <c r="D3" s="30" t="s">
        <v>184</v>
      </c>
      <c r="E3" s="30">
        <v>1</v>
      </c>
      <c r="F3" s="30" t="s">
        <v>193</v>
      </c>
      <c r="G3" s="30" t="s">
        <v>152</v>
      </c>
      <c r="I3" t="s">
        <v>452</v>
      </c>
    </row>
    <row r="4" spans="1:9" x14ac:dyDescent="0.25">
      <c r="A4" s="45" t="s">
        <v>181</v>
      </c>
      <c r="B4" s="30" t="s">
        <v>182</v>
      </c>
      <c r="C4" s="30" t="s">
        <v>185</v>
      </c>
      <c r="D4" s="30" t="s">
        <v>184</v>
      </c>
      <c r="E4" s="30">
        <v>3</v>
      </c>
      <c r="F4" s="30" t="s">
        <v>193</v>
      </c>
      <c r="G4" s="30" t="s">
        <v>152</v>
      </c>
    </row>
    <row r="5" spans="1:9" x14ac:dyDescent="0.25">
      <c r="A5" s="45" t="s">
        <v>181</v>
      </c>
      <c r="B5" s="30" t="s">
        <v>182</v>
      </c>
      <c r="C5" s="30" t="s">
        <v>186</v>
      </c>
      <c r="D5" s="30" t="s">
        <v>187</v>
      </c>
      <c r="E5" s="30">
        <v>2</v>
      </c>
      <c r="F5" s="30" t="s">
        <v>193</v>
      </c>
      <c r="G5" s="30" t="s">
        <v>152</v>
      </c>
    </row>
    <row r="6" spans="1:9" ht="14.45" customHeight="1" x14ac:dyDescent="0.25">
      <c r="A6" s="45" t="s">
        <v>181</v>
      </c>
      <c r="B6" s="30" t="s">
        <v>182</v>
      </c>
      <c r="C6" s="30" t="s">
        <v>188</v>
      </c>
      <c r="D6" s="30" t="s">
        <v>189</v>
      </c>
      <c r="E6" s="30">
        <v>2</v>
      </c>
      <c r="F6" s="30" t="s">
        <v>193</v>
      </c>
      <c r="G6" s="30" t="s">
        <v>152</v>
      </c>
    </row>
    <row r="7" spans="1:9" x14ac:dyDescent="0.25">
      <c r="A7" s="45" t="s">
        <v>181</v>
      </c>
      <c r="B7" s="30" t="s">
        <v>182</v>
      </c>
      <c r="C7" s="30" t="s">
        <v>188</v>
      </c>
      <c r="D7" s="30" t="s">
        <v>189</v>
      </c>
      <c r="E7" s="30">
        <v>1</v>
      </c>
      <c r="F7" s="30" t="s">
        <v>193</v>
      </c>
      <c r="G7" s="30" t="s">
        <v>152</v>
      </c>
    </row>
    <row r="9" spans="1:9" ht="15.75" thickBot="1" x14ac:dyDescent="0.3"/>
    <row r="10" spans="1:9" ht="19.149999999999999" customHeight="1" x14ac:dyDescent="0.25">
      <c r="A10" s="41" t="s">
        <v>165</v>
      </c>
      <c r="B10" s="41" t="s">
        <v>170</v>
      </c>
      <c r="C10" s="41" t="s">
        <v>171</v>
      </c>
      <c r="D10" s="41" t="s">
        <v>172</v>
      </c>
      <c r="E10" s="42" t="s">
        <v>173</v>
      </c>
      <c r="F10" s="42" t="s">
        <v>190</v>
      </c>
      <c r="G10" s="42" t="s">
        <v>194</v>
      </c>
    </row>
    <row r="11" spans="1:9" x14ac:dyDescent="0.25">
      <c r="A11" s="45" t="s">
        <v>180</v>
      </c>
      <c r="B11" s="30" t="s">
        <v>174</v>
      </c>
      <c r="C11" s="30" t="s">
        <v>175</v>
      </c>
      <c r="D11" s="30" t="s">
        <v>176</v>
      </c>
      <c r="E11" s="30">
        <v>1</v>
      </c>
      <c r="F11" s="30" t="s">
        <v>192</v>
      </c>
      <c r="G11" s="30" t="s">
        <v>149</v>
      </c>
      <c r="I11" t="s">
        <v>452</v>
      </c>
    </row>
    <row r="14" spans="1:9" ht="15.75" thickBot="1" x14ac:dyDescent="0.3"/>
    <row r="15" spans="1:9" x14ac:dyDescent="0.25">
      <c r="A15" s="41" t="s">
        <v>165</v>
      </c>
      <c r="B15" s="41" t="s">
        <v>170</v>
      </c>
      <c r="C15" s="41" t="s">
        <v>171</v>
      </c>
      <c r="D15" s="41" t="s">
        <v>172</v>
      </c>
      <c r="E15" s="42" t="s">
        <v>173</v>
      </c>
      <c r="F15" s="42" t="s">
        <v>190</v>
      </c>
      <c r="G15" s="42" t="s">
        <v>194</v>
      </c>
    </row>
    <row r="16" spans="1:9" x14ac:dyDescent="0.25">
      <c r="A16" s="45" t="s">
        <v>180</v>
      </c>
      <c r="B16" s="30" t="s">
        <v>177</v>
      </c>
      <c r="C16" s="30" t="s">
        <v>178</v>
      </c>
      <c r="D16" s="30" t="s">
        <v>179</v>
      </c>
      <c r="E16" s="30">
        <v>4</v>
      </c>
      <c r="F16" s="30" t="s">
        <v>191</v>
      </c>
      <c r="G16" s="30" t="s">
        <v>150</v>
      </c>
      <c r="I16" t="s">
        <v>452</v>
      </c>
    </row>
  </sheetData>
  <pageMargins left="0.7" right="0.7" top="0.75" bottom="0.75" header="0.3" footer="0.3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3B87-7809-49A8-B128-5FEEA0A43E99}">
  <sheetPr codeName="Hoja3"/>
  <dimension ref="A1:M100"/>
  <sheetViews>
    <sheetView workbookViewId="0">
      <pane ySplit="1" topLeftCell="A81" activePane="bottomLeft" state="frozen"/>
      <selection pane="bottomLeft" activeCell="H90" sqref="H90"/>
    </sheetView>
  </sheetViews>
  <sheetFormatPr baseColWidth="10" defaultColWidth="11.5703125" defaultRowHeight="13.9" customHeight="1" x14ac:dyDescent="0.2"/>
  <cols>
    <col min="1" max="1" width="44.42578125" style="14" bestFit="1" customWidth="1"/>
    <col min="2" max="2" width="16.7109375" style="12" customWidth="1"/>
    <col min="3" max="3" width="11.5703125" style="7" customWidth="1"/>
    <col min="4" max="4" width="9" style="13" customWidth="1"/>
    <col min="5" max="6" width="7.7109375" style="7" customWidth="1"/>
    <col min="7" max="7" width="12.5703125" style="7" customWidth="1"/>
    <col min="8" max="8" width="15.28515625" style="7" customWidth="1"/>
    <col min="9" max="9" width="10.85546875" style="7" customWidth="1"/>
    <col min="10" max="10" width="18.28515625" style="7" customWidth="1"/>
    <col min="11" max="11" width="8.7109375" style="7" customWidth="1"/>
    <col min="12" max="12" width="20.7109375" style="7" bestFit="1" customWidth="1"/>
    <col min="13" max="13" width="8.7109375" style="7" customWidth="1"/>
    <col min="14" max="16384" width="11.5703125" style="7"/>
  </cols>
  <sheetData>
    <row r="1" spans="1:13" ht="40.9" customHeight="1" x14ac:dyDescent="0.2">
      <c r="A1" s="137" t="s">
        <v>53</v>
      </c>
      <c r="B1" s="137" t="s">
        <v>54</v>
      </c>
      <c r="C1" s="137" t="s">
        <v>708</v>
      </c>
      <c r="D1" s="138" t="s">
        <v>55</v>
      </c>
      <c r="E1" s="137" t="s">
        <v>55</v>
      </c>
      <c r="F1" s="137" t="s">
        <v>1</v>
      </c>
      <c r="G1" s="137" t="s">
        <v>702</v>
      </c>
      <c r="H1" s="137" t="s">
        <v>703</v>
      </c>
      <c r="I1" s="137" t="s">
        <v>704</v>
      </c>
      <c r="J1" s="137" t="s">
        <v>705</v>
      </c>
      <c r="K1" s="137" t="s">
        <v>706</v>
      </c>
      <c r="L1" s="137" t="s">
        <v>707</v>
      </c>
      <c r="M1" s="137" t="s">
        <v>727</v>
      </c>
    </row>
    <row r="2" spans="1:13" s="1" customFormat="1" ht="13.9" customHeight="1" x14ac:dyDescent="0.2">
      <c r="A2" s="1" t="s">
        <v>56</v>
      </c>
      <c r="B2" s="2" t="s">
        <v>72</v>
      </c>
      <c r="C2" s="3"/>
      <c r="D2" s="2"/>
    </row>
    <row r="3" spans="1:13" s="1" customFormat="1" ht="13.9" customHeight="1" x14ac:dyDescent="0.2">
      <c r="A3" s="1" t="s">
        <v>57</v>
      </c>
      <c r="B3" s="2">
        <v>6911100000</v>
      </c>
      <c r="C3" s="3"/>
      <c r="D3" s="2"/>
    </row>
    <row r="4" spans="1:13" s="1" customFormat="1" ht="13.9" customHeight="1" x14ac:dyDescent="0.2">
      <c r="A4" s="1" t="s">
        <v>57</v>
      </c>
      <c r="B4" s="2">
        <v>6911100000</v>
      </c>
      <c r="C4" s="3"/>
      <c r="D4" s="2"/>
    </row>
    <row r="5" spans="1:13" s="1" customFormat="1" ht="13.9" customHeight="1" x14ac:dyDescent="0.2">
      <c r="A5" s="1" t="s">
        <v>58</v>
      </c>
      <c r="B5" s="4" t="s">
        <v>196</v>
      </c>
      <c r="C5" s="5"/>
      <c r="D5" s="4" t="s">
        <v>59</v>
      </c>
    </row>
    <row r="6" spans="1:13" s="1" customFormat="1" ht="13.9" customHeight="1" x14ac:dyDescent="0.2">
      <c r="A6" s="1" t="s">
        <v>58</v>
      </c>
      <c r="B6" s="4">
        <v>7013280000</v>
      </c>
      <c r="C6" s="5"/>
      <c r="D6" s="4" t="s">
        <v>59</v>
      </c>
    </row>
    <row r="7" spans="1:13" s="1" customFormat="1" ht="13.9" customHeight="1" x14ac:dyDescent="0.2">
      <c r="A7" s="1" t="s">
        <v>60</v>
      </c>
      <c r="B7" s="2">
        <v>6911100000</v>
      </c>
      <c r="C7" s="3"/>
      <c r="D7" s="2"/>
    </row>
    <row r="8" spans="1:13" s="1" customFormat="1" ht="13.9" customHeight="1" x14ac:dyDescent="0.2">
      <c r="A8" s="1" t="s">
        <v>61</v>
      </c>
      <c r="B8" s="4" t="s">
        <v>204</v>
      </c>
      <c r="C8" s="5"/>
      <c r="D8" s="4" t="s">
        <v>59</v>
      </c>
    </row>
    <row r="9" spans="1:13" s="1" customFormat="1" ht="13.9" customHeight="1" x14ac:dyDescent="0.2">
      <c r="A9" s="1" t="s">
        <v>63</v>
      </c>
      <c r="B9" s="6">
        <v>8215990000</v>
      </c>
      <c r="C9" s="1" t="s">
        <v>64</v>
      </c>
      <c r="D9" s="6"/>
    </row>
    <row r="10" spans="1:13" s="1" customFormat="1" ht="13.9" customHeight="1" x14ac:dyDescent="0.2">
      <c r="A10" s="1" t="s">
        <v>63</v>
      </c>
      <c r="B10" s="6">
        <v>8215990000</v>
      </c>
      <c r="C10" s="1" t="s">
        <v>64</v>
      </c>
      <c r="D10" s="6"/>
    </row>
    <row r="11" spans="1:13" s="1" customFormat="1" ht="13.9" customHeight="1" x14ac:dyDescent="0.2">
      <c r="A11" s="1" t="s">
        <v>65</v>
      </c>
      <c r="B11" s="6" t="s">
        <v>68</v>
      </c>
      <c r="D11" s="6"/>
    </row>
    <row r="12" spans="1:13" s="1" customFormat="1" ht="13.9" customHeight="1" x14ac:dyDescent="0.2">
      <c r="A12" s="1" t="s">
        <v>66</v>
      </c>
      <c r="B12" s="2">
        <v>6911100000</v>
      </c>
      <c r="C12" s="3"/>
      <c r="D12" s="2"/>
    </row>
    <row r="13" spans="1:13" s="1" customFormat="1" ht="13.9" customHeight="1" x14ac:dyDescent="0.2">
      <c r="A13" s="1" t="s">
        <v>67</v>
      </c>
      <c r="B13" s="2">
        <v>6911100000</v>
      </c>
      <c r="C13" s="3"/>
      <c r="D13" s="2"/>
    </row>
    <row r="14" spans="1:13" s="1" customFormat="1" ht="13.9" customHeight="1" x14ac:dyDescent="0.2">
      <c r="A14" s="1" t="s">
        <v>67</v>
      </c>
      <c r="B14" s="2">
        <v>6911100000</v>
      </c>
      <c r="C14" s="3"/>
      <c r="D14" s="2"/>
    </row>
    <row r="15" spans="1:13" s="1" customFormat="1" ht="13.9" customHeight="1" x14ac:dyDescent="0.2">
      <c r="A15" s="7" t="s">
        <v>58</v>
      </c>
      <c r="B15" s="8" t="s">
        <v>196</v>
      </c>
      <c r="D15" s="6" t="s">
        <v>59</v>
      </c>
    </row>
    <row r="16" spans="1:13" s="1" customFormat="1" ht="13.9" customHeight="1" x14ac:dyDescent="0.2">
      <c r="A16" s="7" t="s">
        <v>69</v>
      </c>
      <c r="B16" s="9">
        <v>7326909090</v>
      </c>
      <c r="D16" s="6"/>
    </row>
    <row r="17" spans="1:9" s="1" customFormat="1" ht="13.9" customHeight="1" x14ac:dyDescent="0.2">
      <c r="A17" s="7" t="s">
        <v>57</v>
      </c>
      <c r="B17" s="8" t="s">
        <v>72</v>
      </c>
      <c r="D17" s="6"/>
    </row>
    <row r="18" spans="1:9" s="1" customFormat="1" ht="13.9" customHeight="1" x14ac:dyDescent="0.2">
      <c r="A18" s="7" t="s">
        <v>62</v>
      </c>
      <c r="B18" s="2">
        <v>6911100000</v>
      </c>
      <c r="D18" s="2"/>
    </row>
    <row r="19" spans="1:9" s="1" customFormat="1" ht="13.9" customHeight="1" x14ac:dyDescent="0.2">
      <c r="A19" s="7" t="s">
        <v>70</v>
      </c>
      <c r="B19" s="9" t="s">
        <v>71</v>
      </c>
      <c r="D19" s="6"/>
    </row>
    <row r="20" spans="1:9" s="1" customFormat="1" ht="13.9" customHeight="1" x14ac:dyDescent="0.2">
      <c r="A20" s="7" t="s">
        <v>67</v>
      </c>
      <c r="B20" s="8">
        <v>6911100000</v>
      </c>
      <c r="D20" s="6"/>
    </row>
    <row r="21" spans="1:9" s="1" customFormat="1" ht="13.9" customHeight="1" x14ac:dyDescent="0.2">
      <c r="A21" s="7" t="s">
        <v>60</v>
      </c>
      <c r="B21" s="8" t="s">
        <v>72</v>
      </c>
      <c r="D21" s="6"/>
    </row>
    <row r="22" spans="1:9" s="1" customFormat="1" ht="13.9" customHeight="1" x14ac:dyDescent="0.2">
      <c r="A22" s="7" t="s">
        <v>63</v>
      </c>
      <c r="B22" s="8" t="s">
        <v>197</v>
      </c>
      <c r="D22" s="6"/>
    </row>
    <row r="23" spans="1:9" s="1" customFormat="1" ht="13.9" customHeight="1" x14ac:dyDescent="0.2">
      <c r="A23" s="7" t="s">
        <v>61</v>
      </c>
      <c r="B23" s="8" t="s">
        <v>204</v>
      </c>
      <c r="D23" s="13" t="s">
        <v>59</v>
      </c>
    </row>
    <row r="24" spans="1:9" s="1" customFormat="1" ht="13.9" customHeight="1" x14ac:dyDescent="0.2">
      <c r="A24" s="10" t="s">
        <v>73</v>
      </c>
      <c r="B24" s="8">
        <v>7013370000</v>
      </c>
      <c r="D24" s="13" t="s">
        <v>59</v>
      </c>
    </row>
    <row r="25" spans="1:9" s="1" customFormat="1" ht="13.9" customHeight="1" x14ac:dyDescent="0.2">
      <c r="A25" s="11" t="s">
        <v>74</v>
      </c>
      <c r="B25" s="11">
        <v>3926909000</v>
      </c>
      <c r="D25" s="6"/>
    </row>
    <row r="26" spans="1:9" ht="13.9" customHeight="1" x14ac:dyDescent="0.2">
      <c r="A26" s="7" t="s">
        <v>75</v>
      </c>
      <c r="B26" s="12" t="s">
        <v>71</v>
      </c>
      <c r="C26" s="7" t="s">
        <v>64</v>
      </c>
      <c r="H26" s="7" t="s">
        <v>76</v>
      </c>
      <c r="I26" s="1"/>
    </row>
    <row r="27" spans="1:9" ht="13.9" customHeight="1" x14ac:dyDescent="0.2">
      <c r="A27" s="7" t="s">
        <v>77</v>
      </c>
      <c r="B27" s="12" t="s">
        <v>71</v>
      </c>
      <c r="C27" s="7" t="s">
        <v>64</v>
      </c>
      <c r="I27" s="1"/>
    </row>
    <row r="28" spans="1:9" ht="13.9" customHeight="1" x14ac:dyDescent="0.2">
      <c r="A28" s="7" t="s">
        <v>78</v>
      </c>
      <c r="B28" s="12">
        <v>2005200000</v>
      </c>
      <c r="I28" s="1"/>
    </row>
    <row r="29" spans="1:9" ht="13.9" customHeight="1" x14ac:dyDescent="0.2">
      <c r="A29" s="7" t="s">
        <v>79</v>
      </c>
      <c r="B29" s="12">
        <v>8716809000</v>
      </c>
      <c r="I29" s="1"/>
    </row>
    <row r="30" spans="1:9" ht="13.9" customHeight="1" x14ac:dyDescent="0.2">
      <c r="A30" s="7" t="s">
        <v>80</v>
      </c>
      <c r="B30" s="12">
        <v>6302530000</v>
      </c>
      <c r="I30" s="1"/>
    </row>
    <row r="31" spans="1:9" ht="13.9" customHeight="1" x14ac:dyDescent="0.2">
      <c r="A31" s="7" t="s">
        <v>81</v>
      </c>
      <c r="B31" s="12">
        <v>8205510000</v>
      </c>
      <c r="I31" s="1"/>
    </row>
    <row r="32" spans="1:9" ht="13.9" customHeight="1" x14ac:dyDescent="0.2">
      <c r="A32" s="7" t="s">
        <v>82</v>
      </c>
      <c r="B32" s="12">
        <v>6302530000</v>
      </c>
      <c r="I32" s="1"/>
    </row>
    <row r="33" spans="1:9" ht="13.9" customHeight="1" x14ac:dyDescent="0.2">
      <c r="A33" s="7" t="s">
        <v>83</v>
      </c>
      <c r="B33" s="12">
        <v>6302530000</v>
      </c>
      <c r="I33" s="1"/>
    </row>
    <row r="34" spans="1:9" ht="13.9" customHeight="1" x14ac:dyDescent="0.2">
      <c r="A34" s="7" t="s">
        <v>84</v>
      </c>
      <c r="B34" s="12">
        <v>4819100000</v>
      </c>
      <c r="I34" s="1"/>
    </row>
    <row r="35" spans="1:9" ht="13.9" customHeight="1" x14ac:dyDescent="0.2">
      <c r="A35" s="7" t="s">
        <v>85</v>
      </c>
      <c r="B35" s="12">
        <v>4818900000</v>
      </c>
      <c r="I35" s="1"/>
    </row>
    <row r="36" spans="1:9" ht="13.9" customHeight="1" x14ac:dyDescent="0.2">
      <c r="A36" s="7" t="s">
        <v>86</v>
      </c>
      <c r="B36" s="12" t="s">
        <v>87</v>
      </c>
      <c r="I36" s="1"/>
    </row>
    <row r="37" spans="1:9" ht="13.9" customHeight="1" x14ac:dyDescent="0.2">
      <c r="A37" s="7" t="s">
        <v>88</v>
      </c>
      <c r="B37" s="12">
        <v>4820100000</v>
      </c>
      <c r="I37" s="1"/>
    </row>
    <row r="38" spans="1:9" ht="13.9" customHeight="1" x14ac:dyDescent="0.2">
      <c r="A38" s="7" t="s">
        <v>89</v>
      </c>
      <c r="B38" s="12" t="s">
        <v>87</v>
      </c>
      <c r="I38" s="1"/>
    </row>
    <row r="39" spans="1:9" ht="13.9" customHeight="1" x14ac:dyDescent="0.2">
      <c r="A39" s="7" t="s">
        <v>73</v>
      </c>
      <c r="B39" s="12">
        <v>7013370000</v>
      </c>
      <c r="D39" s="13" t="s">
        <v>59</v>
      </c>
      <c r="I39" s="1"/>
    </row>
    <row r="40" spans="1:9" ht="13.9" customHeight="1" x14ac:dyDescent="0.2">
      <c r="A40" s="7" t="s">
        <v>90</v>
      </c>
      <c r="B40" s="12">
        <v>7326909090</v>
      </c>
      <c r="I40" s="1"/>
    </row>
    <row r="41" spans="1:9" ht="13.9" customHeight="1" x14ac:dyDescent="0.2">
      <c r="A41" s="7" t="s">
        <v>90</v>
      </c>
      <c r="B41" s="12">
        <v>7326909090</v>
      </c>
      <c r="I41" s="1"/>
    </row>
    <row r="42" spans="1:9" ht="13.9" customHeight="1" x14ac:dyDescent="0.2">
      <c r="A42" s="7" t="s">
        <v>90</v>
      </c>
      <c r="B42" s="12">
        <v>7326909090</v>
      </c>
      <c r="I42" s="1"/>
    </row>
    <row r="43" spans="1:9" ht="13.9" customHeight="1" x14ac:dyDescent="0.2">
      <c r="A43" s="7" t="s">
        <v>77</v>
      </c>
      <c r="B43" s="12">
        <v>7326909090</v>
      </c>
      <c r="I43" s="1"/>
    </row>
    <row r="44" spans="1:9" ht="13.9" customHeight="1" x14ac:dyDescent="0.2">
      <c r="A44" s="7" t="s">
        <v>91</v>
      </c>
      <c r="B44" s="46">
        <v>8205510000</v>
      </c>
      <c r="I44" s="1"/>
    </row>
    <row r="45" spans="1:9" ht="13.9" customHeight="1" x14ac:dyDescent="0.2">
      <c r="A45" s="7" t="s">
        <v>83</v>
      </c>
      <c r="B45" s="7">
        <v>6302530000</v>
      </c>
      <c r="I45" s="1"/>
    </row>
    <row r="46" spans="1:9" ht="13.9" customHeight="1" x14ac:dyDescent="0.2">
      <c r="A46" s="7" t="s">
        <v>82</v>
      </c>
      <c r="B46" s="46">
        <v>6302530000</v>
      </c>
      <c r="I46" s="1"/>
    </row>
    <row r="47" spans="1:9" ht="13.9" customHeight="1" x14ac:dyDescent="0.2">
      <c r="A47" s="7" t="s">
        <v>92</v>
      </c>
      <c r="B47" s="46">
        <v>6302530000</v>
      </c>
      <c r="I47" s="1"/>
    </row>
    <row r="48" spans="1:9" ht="13.9" customHeight="1" x14ac:dyDescent="0.2">
      <c r="A48" s="7" t="s">
        <v>93</v>
      </c>
      <c r="B48" s="12" t="s">
        <v>94</v>
      </c>
      <c r="I48" s="1"/>
    </row>
    <row r="49" spans="1:9" ht="13.9" customHeight="1" x14ac:dyDescent="0.2">
      <c r="A49" s="7" t="s">
        <v>95</v>
      </c>
      <c r="B49" s="12" t="s">
        <v>96</v>
      </c>
      <c r="I49" s="1"/>
    </row>
    <row r="50" spans="1:9" ht="13.9" customHeight="1" x14ac:dyDescent="0.2">
      <c r="A50" s="7" t="s">
        <v>97</v>
      </c>
      <c r="B50" s="12" t="s">
        <v>96</v>
      </c>
      <c r="I50" s="1"/>
    </row>
    <row r="51" spans="1:9" ht="13.9" customHeight="1" x14ac:dyDescent="0.2">
      <c r="A51" s="7" t="s">
        <v>98</v>
      </c>
      <c r="B51" s="12" t="s">
        <v>99</v>
      </c>
      <c r="I51" s="1"/>
    </row>
    <row r="52" spans="1:9" ht="13.9" customHeight="1" x14ac:dyDescent="0.2">
      <c r="A52" s="7" t="s">
        <v>100</v>
      </c>
      <c r="B52" s="12" t="s">
        <v>101</v>
      </c>
    </row>
    <row r="53" spans="1:9" ht="13.9" customHeight="1" x14ac:dyDescent="0.2">
      <c r="A53" s="7" t="s">
        <v>102</v>
      </c>
      <c r="B53" s="12" t="s">
        <v>103</v>
      </c>
    </row>
    <row r="54" spans="1:9" ht="13.9" customHeight="1" x14ac:dyDescent="0.2">
      <c r="A54" s="7" t="s">
        <v>104</v>
      </c>
      <c r="B54" s="12" t="s">
        <v>105</v>
      </c>
      <c r="F54" s="7" t="s">
        <v>106</v>
      </c>
    </row>
    <row r="55" spans="1:9" ht="13.9" customHeight="1" x14ac:dyDescent="0.2">
      <c r="A55" s="7" t="s">
        <v>107</v>
      </c>
      <c r="B55" s="12" t="s">
        <v>108</v>
      </c>
    </row>
    <row r="56" spans="1:9" ht="13.9" customHeight="1" x14ac:dyDescent="0.2">
      <c r="A56" s="7" t="s">
        <v>109</v>
      </c>
      <c r="B56" s="12" t="s">
        <v>108</v>
      </c>
    </row>
    <row r="57" spans="1:9" ht="13.9" customHeight="1" x14ac:dyDescent="0.2">
      <c r="A57" s="7" t="s">
        <v>110</v>
      </c>
      <c r="B57" s="12" t="s">
        <v>108</v>
      </c>
    </row>
    <row r="58" spans="1:9" ht="13.9" customHeight="1" x14ac:dyDescent="0.2">
      <c r="A58" s="7" t="s">
        <v>111</v>
      </c>
      <c r="B58" s="12" t="s">
        <v>112</v>
      </c>
    </row>
    <row r="59" spans="1:9" ht="13.9" customHeight="1" x14ac:dyDescent="0.2">
      <c r="A59" s="7" t="s">
        <v>113</v>
      </c>
      <c r="B59" s="12" t="s">
        <v>114</v>
      </c>
      <c r="F59" s="7" t="s">
        <v>115</v>
      </c>
    </row>
    <row r="60" spans="1:9" ht="13.9" customHeight="1" x14ac:dyDescent="0.2">
      <c r="A60" s="7" t="s">
        <v>116</v>
      </c>
      <c r="B60" s="12" t="s">
        <v>117</v>
      </c>
    </row>
    <row r="61" spans="1:9" ht="13.9" customHeight="1" x14ac:dyDescent="0.2">
      <c r="A61" s="7" t="s">
        <v>119</v>
      </c>
      <c r="B61" s="12" t="s">
        <v>120</v>
      </c>
    </row>
    <row r="62" spans="1:9" ht="13.9" customHeight="1" x14ac:dyDescent="0.2">
      <c r="A62" s="7" t="s">
        <v>121</v>
      </c>
      <c r="B62" s="12" t="s">
        <v>122</v>
      </c>
    </row>
    <row r="63" spans="1:9" ht="13.9" customHeight="1" x14ac:dyDescent="0.2">
      <c r="A63" s="7" t="s">
        <v>123</v>
      </c>
      <c r="B63" s="12" t="s">
        <v>124</v>
      </c>
    </row>
    <row r="64" spans="1:9" ht="13.9" customHeight="1" x14ac:dyDescent="0.2">
      <c r="A64" s="7" t="s">
        <v>125</v>
      </c>
      <c r="B64" s="12">
        <v>3926909000</v>
      </c>
    </row>
    <row r="65" spans="1:4" ht="13.9" customHeight="1" x14ac:dyDescent="0.2">
      <c r="A65" s="7" t="s">
        <v>126</v>
      </c>
      <c r="B65" s="12" t="s">
        <v>127</v>
      </c>
    </row>
    <row r="66" spans="1:4" ht="13.9" customHeight="1" x14ac:dyDescent="0.2">
      <c r="A66" s="7" t="s">
        <v>128</v>
      </c>
      <c r="B66" s="12" t="s">
        <v>129</v>
      </c>
    </row>
    <row r="67" spans="1:4" ht="13.9" customHeight="1" x14ac:dyDescent="0.2">
      <c r="A67" s="14" t="s">
        <v>130</v>
      </c>
      <c r="B67" s="12" t="s">
        <v>131</v>
      </c>
    </row>
    <row r="68" spans="1:4" ht="13.9" customHeight="1" x14ac:dyDescent="0.2">
      <c r="A68" s="15" t="s">
        <v>132</v>
      </c>
      <c r="B68" s="12" t="s">
        <v>133</v>
      </c>
    </row>
    <row r="69" spans="1:4" ht="13.9" customHeight="1" x14ac:dyDescent="0.2">
      <c r="A69" s="7" t="s">
        <v>134</v>
      </c>
      <c r="B69" s="12" t="s">
        <v>135</v>
      </c>
    </row>
    <row r="70" spans="1:4" ht="13.9" customHeight="1" x14ac:dyDescent="0.2">
      <c r="A70" s="7" t="s">
        <v>136</v>
      </c>
      <c r="B70" s="12" t="s">
        <v>137</v>
      </c>
    </row>
    <row r="71" spans="1:4" ht="13.9" customHeight="1" x14ac:dyDescent="0.2">
      <c r="A71" s="7" t="s">
        <v>138</v>
      </c>
      <c r="B71" s="12" t="s">
        <v>139</v>
      </c>
    </row>
    <row r="72" spans="1:4" ht="13.9" customHeight="1" x14ac:dyDescent="0.2">
      <c r="A72" s="7" t="s">
        <v>140</v>
      </c>
      <c r="B72" s="12" t="s">
        <v>124</v>
      </c>
    </row>
    <row r="73" spans="1:4" ht="13.9" customHeight="1" x14ac:dyDescent="0.2">
      <c r="A73" s="7" t="s">
        <v>141</v>
      </c>
      <c r="B73" s="12" t="s">
        <v>142</v>
      </c>
      <c r="D73" s="57" t="s">
        <v>148</v>
      </c>
    </row>
    <row r="74" spans="1:4" ht="13.9" customHeight="1" x14ac:dyDescent="0.2">
      <c r="A74" s="7" t="s">
        <v>143</v>
      </c>
      <c r="B74" s="12" t="s">
        <v>144</v>
      </c>
    </row>
    <row r="75" spans="1:4" ht="13.9" customHeight="1" x14ac:dyDescent="0.2">
      <c r="A75" s="7" t="s">
        <v>145</v>
      </c>
      <c r="B75" s="12" t="s">
        <v>205</v>
      </c>
    </row>
    <row r="76" spans="1:4" ht="13.9" customHeight="1" x14ac:dyDescent="0.2">
      <c r="A76" s="7" t="s">
        <v>118</v>
      </c>
      <c r="B76" s="12" t="s">
        <v>146</v>
      </c>
    </row>
    <row r="77" spans="1:4" ht="13.9" customHeight="1" x14ac:dyDescent="0.2">
      <c r="A77" s="14" t="s">
        <v>201</v>
      </c>
      <c r="B77" s="47">
        <v>7323931000</v>
      </c>
    </row>
    <row r="78" spans="1:4" ht="13.9" customHeight="1" x14ac:dyDescent="0.2">
      <c r="A78" s="14" t="s">
        <v>147</v>
      </c>
      <c r="B78" s="12">
        <v>3926909000</v>
      </c>
    </row>
    <row r="79" spans="1:4" ht="13.9" customHeight="1" x14ac:dyDescent="0.2">
      <c r="A79" s="14" t="s">
        <v>198</v>
      </c>
      <c r="B79" s="12">
        <v>4419900000</v>
      </c>
    </row>
    <row r="80" spans="1:4" ht="13.9" customHeight="1" x14ac:dyDescent="0.2">
      <c r="A80" s="14" t="s">
        <v>237</v>
      </c>
      <c r="B80" s="12">
        <v>3926909000</v>
      </c>
    </row>
    <row r="81" spans="1:2" ht="13.9" customHeight="1" x14ac:dyDescent="0.2">
      <c r="A81" s="14" t="s">
        <v>257</v>
      </c>
      <c r="B81" s="12">
        <v>4202999000</v>
      </c>
    </row>
    <row r="82" spans="1:2" ht="13.9" customHeight="1" x14ac:dyDescent="0.2">
      <c r="A82" s="14" t="s">
        <v>274</v>
      </c>
      <c r="B82" s="12">
        <v>9617000000</v>
      </c>
    </row>
    <row r="83" spans="1:2" ht="13.9" customHeight="1" x14ac:dyDescent="0.2">
      <c r="A83" s="14" t="s">
        <v>275</v>
      </c>
      <c r="B83" s="12">
        <v>9617000000</v>
      </c>
    </row>
    <row r="84" spans="1:2" ht="13.9" customHeight="1" x14ac:dyDescent="0.2">
      <c r="A84" s="80" t="s">
        <v>461</v>
      </c>
      <c r="B84" s="81">
        <v>8215990000</v>
      </c>
    </row>
    <row r="85" spans="1:2" ht="13.9" customHeight="1" x14ac:dyDescent="0.2">
      <c r="A85" s="80" t="s">
        <v>462</v>
      </c>
      <c r="B85" s="81">
        <v>6302930000</v>
      </c>
    </row>
    <row r="86" spans="1:2" ht="13.9" customHeight="1" x14ac:dyDescent="0.25">
      <c r="A86" s="99" t="s">
        <v>594</v>
      </c>
      <c r="B86" s="12" t="s">
        <v>99</v>
      </c>
    </row>
    <row r="87" spans="1:2" ht="13.9" customHeight="1" x14ac:dyDescent="0.25">
      <c r="A87" s="99" t="s">
        <v>595</v>
      </c>
      <c r="B87" s="12" t="s">
        <v>716</v>
      </c>
    </row>
    <row r="88" spans="1:2" ht="13.9" customHeight="1" x14ac:dyDescent="0.25">
      <c r="A88" s="99" t="s">
        <v>596</v>
      </c>
      <c r="B88" s="12" t="s">
        <v>717</v>
      </c>
    </row>
    <row r="89" spans="1:2" ht="13.9" customHeight="1" x14ac:dyDescent="0.25">
      <c r="A89" s="99" t="s">
        <v>597</v>
      </c>
      <c r="B89" s="12" t="s">
        <v>718</v>
      </c>
    </row>
    <row r="90" spans="1:2" ht="13.9" customHeight="1" x14ac:dyDescent="0.25">
      <c r="A90" s="99" t="s">
        <v>598</v>
      </c>
      <c r="B90" s="12" t="s">
        <v>719</v>
      </c>
    </row>
    <row r="91" spans="1:2" ht="13.9" customHeight="1" x14ac:dyDescent="0.25">
      <c r="A91" s="99" t="s">
        <v>599</v>
      </c>
      <c r="B91" s="12" t="s">
        <v>720</v>
      </c>
    </row>
    <row r="92" spans="1:2" ht="13.9" customHeight="1" x14ac:dyDescent="0.25">
      <c r="A92" t="s">
        <v>600</v>
      </c>
      <c r="B92" s="12" t="s">
        <v>716</v>
      </c>
    </row>
    <row r="93" spans="1:2" ht="13.9" customHeight="1" x14ac:dyDescent="0.25">
      <c r="A93" t="s">
        <v>601</v>
      </c>
      <c r="B93" s="12" t="s">
        <v>716</v>
      </c>
    </row>
    <row r="94" spans="1:2" ht="13.9" customHeight="1" x14ac:dyDescent="0.25">
      <c r="A94" s="99" t="s">
        <v>602</v>
      </c>
      <c r="B94" s="12" t="s">
        <v>721</v>
      </c>
    </row>
    <row r="95" spans="1:2" ht="13.9" customHeight="1" x14ac:dyDescent="0.25">
      <c r="A95" s="99" t="s">
        <v>603</v>
      </c>
      <c r="B95" s="12" t="s">
        <v>718</v>
      </c>
    </row>
    <row r="96" spans="1:2" ht="13.9" customHeight="1" x14ac:dyDescent="0.25">
      <c r="A96" s="99" t="s">
        <v>604</v>
      </c>
      <c r="B96" s="12" t="s">
        <v>722</v>
      </c>
    </row>
    <row r="97" spans="1:13" ht="13.9" customHeight="1" x14ac:dyDescent="0.25">
      <c r="A97" t="s">
        <v>605</v>
      </c>
      <c r="B97" s="12" t="s">
        <v>723</v>
      </c>
    </row>
    <row r="98" spans="1:13" ht="13.9" customHeight="1" x14ac:dyDescent="0.2">
      <c r="A98" s="14" t="s">
        <v>606</v>
      </c>
      <c r="B98" s="12" t="s">
        <v>724</v>
      </c>
    </row>
    <row r="99" spans="1:13" ht="13.9" customHeight="1" x14ac:dyDescent="0.2">
      <c r="A99" s="14" t="s">
        <v>715</v>
      </c>
      <c r="G99" s="7" t="s">
        <v>709</v>
      </c>
      <c r="H99" s="7" t="s">
        <v>710</v>
      </c>
      <c r="I99" s="7" t="s">
        <v>711</v>
      </c>
      <c r="J99" s="7" t="s">
        <v>712</v>
      </c>
      <c r="K99" s="7" t="s">
        <v>713</v>
      </c>
      <c r="L99" s="7" t="s">
        <v>714</v>
      </c>
      <c r="M99" s="139">
        <v>0.4</v>
      </c>
    </row>
    <row r="100" spans="1:13" ht="13.9" customHeight="1" x14ac:dyDescent="0.2">
      <c r="B100" s="12">
        <v>2208300090</v>
      </c>
    </row>
  </sheetData>
  <autoFilter ref="A1:I85" xr:uid="{B4303B87-7809-49A8-B128-5FEEA0A43E99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AA26-926B-4122-B3C4-70ABCA35AEC3}">
  <sheetPr codeName="Hoja2"/>
  <dimension ref="A1:G11"/>
  <sheetViews>
    <sheetView workbookViewId="0">
      <selection activeCell="H1" sqref="H1"/>
    </sheetView>
  </sheetViews>
  <sheetFormatPr baseColWidth="10" defaultColWidth="11.42578125" defaultRowHeight="15" x14ac:dyDescent="0.25"/>
  <cols>
    <col min="1" max="1" width="15.7109375" customWidth="1"/>
    <col min="2" max="2" width="13.42578125" customWidth="1"/>
    <col min="10" max="10" width="7.140625" customWidth="1"/>
  </cols>
  <sheetData>
    <row r="1" spans="1:7" x14ac:dyDescent="0.25">
      <c r="A1" s="132" t="s">
        <v>1</v>
      </c>
      <c r="B1" s="132" t="s">
        <v>0</v>
      </c>
      <c r="F1" t="str" cm="1">
        <f t="array" ref="F1:F3">A2:A4</f>
        <v>Importación</v>
      </c>
      <c r="G1" t="str" cm="1">
        <f t="array" ref="G1:G10">B2:B11</f>
        <v>Régimen 75</v>
      </c>
    </row>
    <row r="2" spans="1:7" x14ac:dyDescent="0.25">
      <c r="A2" t="s">
        <v>682</v>
      </c>
      <c r="B2" t="s">
        <v>678</v>
      </c>
      <c r="F2" t="str">
        <v>Exportación</v>
      </c>
      <c r="G2" t="str">
        <v>Régimen 60</v>
      </c>
    </row>
    <row r="3" spans="1:7" x14ac:dyDescent="0.25">
      <c r="A3" t="s">
        <v>51</v>
      </c>
      <c r="B3" t="s">
        <v>681</v>
      </c>
      <c r="F3" t="str">
        <v>General</v>
      </c>
      <c r="G3" t="str">
        <v>Régimen.40</v>
      </c>
    </row>
    <row r="4" spans="1:7" x14ac:dyDescent="0.25">
      <c r="A4" t="s">
        <v>683</v>
      </c>
      <c r="B4" t="s">
        <v>677</v>
      </c>
      <c r="G4" t="str">
        <v>DAS</v>
      </c>
    </row>
    <row r="5" spans="1:7" x14ac:dyDescent="0.25">
      <c r="B5" t="s">
        <v>52</v>
      </c>
      <c r="G5" t="str">
        <v>COMAIL</v>
      </c>
    </row>
    <row r="6" spans="1:7" x14ac:dyDescent="0.25">
      <c r="B6" t="s">
        <v>9</v>
      </c>
      <c r="G6" t="str">
        <v>AOG</v>
      </c>
    </row>
    <row r="7" spans="1:7" x14ac:dyDescent="0.25">
      <c r="B7" t="s">
        <v>23</v>
      </c>
      <c r="G7" t="str">
        <v>Destrucción</v>
      </c>
    </row>
    <row r="8" spans="1:7" x14ac:dyDescent="0.25">
      <c r="B8" t="s">
        <v>676</v>
      </c>
      <c r="G8" t="str">
        <v>Régimen 10</v>
      </c>
    </row>
    <row r="9" spans="1:7" x14ac:dyDescent="0.25">
      <c r="B9" t="s">
        <v>679</v>
      </c>
      <c r="G9" t="str">
        <v>Régimen 87</v>
      </c>
    </row>
    <row r="10" spans="1:7" x14ac:dyDescent="0.25">
      <c r="B10" t="s">
        <v>680</v>
      </c>
      <c r="G10" t="str">
        <v>AOG</v>
      </c>
    </row>
    <row r="11" spans="1:7" x14ac:dyDescent="0.25">
      <c r="B11" t="s">
        <v>23</v>
      </c>
    </row>
  </sheetData>
  <dataConsolidate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6801-AE90-4C40-A13F-20331CF33733}">
  <dimension ref="A2:C2"/>
  <sheetViews>
    <sheetView workbookViewId="0">
      <selection activeCell="F19" sqref="F19"/>
    </sheetView>
  </sheetViews>
  <sheetFormatPr baseColWidth="10" defaultRowHeight="15" x14ac:dyDescent="0.25"/>
  <cols>
    <col min="1" max="1" width="14" customWidth="1"/>
    <col min="3" max="3" width="19.5703125" customWidth="1"/>
  </cols>
  <sheetData>
    <row r="2" spans="1:3" x14ac:dyDescent="0.25">
      <c r="A2">
        <v>2901100090</v>
      </c>
      <c r="B2" s="56" t="s">
        <v>267</v>
      </c>
      <c r="C2" t="s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9403-C7EB-4A41-88A5-C045C76ECB30}">
  <dimension ref="A1:L172"/>
  <sheetViews>
    <sheetView showGridLines="0" zoomScaleNormal="100" workbookViewId="0">
      <selection activeCell="G14" sqref="G14"/>
    </sheetView>
  </sheetViews>
  <sheetFormatPr baseColWidth="10" defaultColWidth="11.42578125" defaultRowHeight="13.9" customHeight="1" x14ac:dyDescent="0.2"/>
  <cols>
    <col min="1" max="1" width="10.28515625" style="17" customWidth="1"/>
    <col min="2" max="2" width="13.7109375" style="23" customWidth="1"/>
    <col min="3" max="3" width="14.7109375" style="23" customWidth="1"/>
    <col min="4" max="4" width="12.5703125" style="23" customWidth="1"/>
    <col min="5" max="5" width="13.28515625" style="23" bestFit="1" customWidth="1"/>
    <col min="6" max="6" width="16.28515625" style="22" bestFit="1" customWidth="1"/>
    <col min="7" max="7" width="23.28515625" style="23" bestFit="1" customWidth="1"/>
    <col min="8" max="8" width="9.85546875" style="23" bestFit="1" customWidth="1"/>
    <col min="9" max="9" width="15.28515625" style="23" customWidth="1"/>
    <col min="10" max="10" width="5.42578125" style="21" customWidth="1"/>
    <col min="11" max="11" width="38.85546875" style="19" customWidth="1"/>
    <col min="12" max="12" width="16.28515625" style="23" customWidth="1"/>
    <col min="13" max="16384" width="11.42578125" style="17"/>
  </cols>
  <sheetData>
    <row r="1" spans="1:12" ht="22.9" customHeight="1" x14ac:dyDescent="0.2">
      <c r="A1" s="72" t="s">
        <v>199</v>
      </c>
      <c r="B1" s="71" t="s">
        <v>0</v>
      </c>
      <c r="C1" s="71" t="s">
        <v>1</v>
      </c>
      <c r="D1" s="71" t="s">
        <v>2</v>
      </c>
      <c r="E1" s="71" t="s">
        <v>209</v>
      </c>
      <c r="F1" s="71" t="s">
        <v>3</v>
      </c>
      <c r="G1" s="71" t="s">
        <v>4</v>
      </c>
      <c r="H1" s="71" t="s">
        <v>166</v>
      </c>
      <c r="I1" s="71" t="s">
        <v>5</v>
      </c>
      <c r="J1" s="71" t="s">
        <v>6</v>
      </c>
      <c r="K1" s="71" t="s">
        <v>7</v>
      </c>
      <c r="L1" s="16" t="s">
        <v>8</v>
      </c>
    </row>
    <row r="2" spans="1:12" s="19" customFormat="1" ht="13.9" customHeight="1" x14ac:dyDescent="0.2">
      <c r="B2" s="21"/>
      <c r="C2" s="21"/>
      <c r="D2" s="21"/>
      <c r="E2" s="21"/>
      <c r="F2" s="22"/>
      <c r="G2" s="22" t="s">
        <v>157</v>
      </c>
      <c r="H2" s="21"/>
      <c r="I2" s="21"/>
      <c r="J2" s="20" t="s">
        <v>19</v>
      </c>
      <c r="K2" s="52" t="s">
        <v>450</v>
      </c>
      <c r="L2" s="18"/>
    </row>
    <row r="3" spans="1:12" s="19" customFormat="1" ht="13.9" customHeight="1" x14ac:dyDescent="0.2">
      <c r="B3" s="21"/>
      <c r="C3" s="21"/>
      <c r="D3" s="21"/>
      <c r="E3" s="21"/>
      <c r="F3" s="22"/>
      <c r="G3" s="22" t="s">
        <v>158</v>
      </c>
      <c r="H3" s="21"/>
      <c r="I3" s="21"/>
      <c r="J3" s="20" t="s">
        <v>19</v>
      </c>
      <c r="K3" s="52" t="s">
        <v>202</v>
      </c>
      <c r="L3" s="18"/>
    </row>
    <row r="4" spans="1:12" s="19" customFormat="1" ht="13.9" customHeight="1" x14ac:dyDescent="0.2">
      <c r="B4" s="21"/>
      <c r="C4" s="21"/>
      <c r="D4" s="21"/>
      <c r="E4" s="21"/>
      <c r="F4" s="22"/>
      <c r="G4" s="22" t="s">
        <v>159</v>
      </c>
      <c r="H4" s="21"/>
      <c r="I4" s="21"/>
      <c r="J4" s="20" t="s">
        <v>19</v>
      </c>
      <c r="K4" s="52" t="s">
        <v>206</v>
      </c>
      <c r="L4" s="18"/>
    </row>
    <row r="5" spans="1:12" s="19" customFormat="1" ht="13.9" customHeight="1" x14ac:dyDescent="0.2">
      <c r="B5" s="21"/>
      <c r="C5" s="21"/>
      <c r="D5" s="21"/>
      <c r="E5" s="21"/>
      <c r="F5" s="22"/>
      <c r="G5" s="22" t="s">
        <v>160</v>
      </c>
      <c r="H5" s="21"/>
      <c r="I5" s="21"/>
      <c r="J5" s="20" t="s">
        <v>19</v>
      </c>
      <c r="K5" s="52" t="s">
        <v>203</v>
      </c>
      <c r="L5" s="18"/>
    </row>
    <row r="6" spans="1:12" s="19" customFormat="1" ht="13.9" customHeight="1" x14ac:dyDescent="0.2">
      <c r="B6" s="21"/>
      <c r="C6" s="21"/>
      <c r="D6" s="21"/>
      <c r="E6" s="21"/>
      <c r="F6" s="22"/>
      <c r="G6" s="22"/>
      <c r="H6" s="21"/>
      <c r="I6" s="21"/>
      <c r="J6" s="20"/>
      <c r="K6" s="52" t="s">
        <v>164</v>
      </c>
      <c r="L6" s="18"/>
    </row>
    <row r="7" spans="1:12" s="19" customFormat="1" ht="13.9" customHeight="1" x14ac:dyDescent="0.2">
      <c r="B7" s="21"/>
      <c r="C7" s="21"/>
      <c r="D7" s="21"/>
      <c r="E7" s="21"/>
      <c r="F7" s="22"/>
      <c r="G7" s="22"/>
      <c r="H7" s="21"/>
      <c r="I7" s="21"/>
      <c r="J7" s="20"/>
      <c r="K7" s="52" t="s">
        <v>451</v>
      </c>
      <c r="L7" s="18"/>
    </row>
    <row r="8" spans="1:12" s="39" customFormat="1" ht="13.9" customHeight="1" x14ac:dyDescent="0.2">
      <c r="B8" s="35" t="s">
        <v>23</v>
      </c>
      <c r="C8" s="35" t="s">
        <v>10</v>
      </c>
      <c r="D8" s="35">
        <v>72945728432</v>
      </c>
      <c r="E8" s="35" t="s">
        <v>24</v>
      </c>
      <c r="F8" s="34"/>
      <c r="G8" s="34"/>
      <c r="H8" s="35"/>
      <c r="I8" s="34" t="s">
        <v>25</v>
      </c>
      <c r="J8" s="49" t="s">
        <v>19</v>
      </c>
      <c r="K8" s="36" t="s">
        <v>26</v>
      </c>
      <c r="L8" s="38"/>
    </row>
    <row r="9" spans="1:12" s="19" customFormat="1" ht="13.9" customHeight="1" x14ac:dyDescent="0.2">
      <c r="A9" s="66">
        <v>2025</v>
      </c>
      <c r="B9" s="32" t="s">
        <v>15</v>
      </c>
      <c r="C9" s="32" t="s">
        <v>16</v>
      </c>
      <c r="D9" s="32"/>
      <c r="E9" s="32" t="s">
        <v>27</v>
      </c>
      <c r="F9" s="33" t="s">
        <v>28</v>
      </c>
      <c r="G9" s="33" t="s">
        <v>29</v>
      </c>
      <c r="H9" s="32">
        <v>2505400</v>
      </c>
      <c r="I9" s="32"/>
      <c r="J9" s="20"/>
      <c r="K9" s="29" t="s">
        <v>30</v>
      </c>
      <c r="L9" s="18"/>
    </row>
    <row r="10" spans="1:12" s="19" customFormat="1" ht="13.9" customHeight="1" x14ac:dyDescent="0.2">
      <c r="A10" s="66">
        <v>2025</v>
      </c>
      <c r="B10" s="32" t="s">
        <v>15</v>
      </c>
      <c r="C10" s="32" t="s">
        <v>16</v>
      </c>
      <c r="D10" s="32">
        <v>27911350286</v>
      </c>
      <c r="E10" s="32" t="s">
        <v>31</v>
      </c>
      <c r="F10" s="33" t="s">
        <v>32</v>
      </c>
      <c r="G10" s="33" t="s">
        <v>33</v>
      </c>
      <c r="H10" s="32">
        <v>2508469</v>
      </c>
      <c r="I10" s="32"/>
      <c r="J10" s="20"/>
      <c r="K10" s="29" t="s">
        <v>30</v>
      </c>
      <c r="L10" s="18"/>
    </row>
    <row r="11" spans="1:12" s="19" customFormat="1" ht="13.9" customHeight="1" x14ac:dyDescent="0.2">
      <c r="A11" s="66">
        <v>2025</v>
      </c>
      <c r="B11" s="32" t="s">
        <v>15</v>
      </c>
      <c r="C11" s="32" t="s">
        <v>16</v>
      </c>
      <c r="D11" s="32">
        <v>27911350301</v>
      </c>
      <c r="E11" s="32" t="s">
        <v>34</v>
      </c>
      <c r="F11" s="48" t="s">
        <v>35</v>
      </c>
      <c r="G11" s="33" t="s">
        <v>36</v>
      </c>
      <c r="H11" s="32">
        <v>2508687</v>
      </c>
      <c r="I11" s="32"/>
      <c r="J11" s="20"/>
      <c r="K11" s="29" t="s">
        <v>30</v>
      </c>
      <c r="L11" s="18"/>
    </row>
    <row r="12" spans="1:12" s="19" customFormat="1" ht="13.9" customHeight="1" x14ac:dyDescent="0.2">
      <c r="A12" s="19">
        <v>2025</v>
      </c>
      <c r="B12" s="26" t="s">
        <v>9</v>
      </c>
      <c r="C12" s="26" t="s">
        <v>10</v>
      </c>
      <c r="D12" s="26"/>
      <c r="E12" s="26" t="s">
        <v>37</v>
      </c>
      <c r="F12" s="27"/>
      <c r="G12" s="27"/>
      <c r="H12" s="26">
        <v>2508331</v>
      </c>
      <c r="I12" s="26"/>
      <c r="J12" s="20"/>
      <c r="K12" s="28" t="s">
        <v>38</v>
      </c>
      <c r="L12" s="18"/>
    </row>
    <row r="13" spans="1:12" s="19" customFormat="1" ht="13.9" customHeight="1" x14ac:dyDescent="0.2">
      <c r="A13" s="19">
        <v>2025</v>
      </c>
      <c r="B13" s="26" t="s">
        <v>12</v>
      </c>
      <c r="C13" s="26" t="s">
        <v>10</v>
      </c>
      <c r="D13" s="26"/>
      <c r="E13" s="26" t="s">
        <v>39</v>
      </c>
      <c r="F13" s="27" t="s">
        <v>40</v>
      </c>
      <c r="G13" s="27"/>
      <c r="H13" s="26">
        <v>2508558</v>
      </c>
      <c r="I13" s="26"/>
      <c r="J13" s="20"/>
      <c r="K13" s="28" t="s">
        <v>38</v>
      </c>
      <c r="L13" s="18"/>
    </row>
    <row r="14" spans="1:12" s="19" customFormat="1" ht="13.9" customHeight="1" x14ac:dyDescent="0.2">
      <c r="A14" s="19">
        <v>2025</v>
      </c>
      <c r="B14" s="26" t="s">
        <v>12</v>
      </c>
      <c r="C14" s="26" t="s">
        <v>10</v>
      </c>
      <c r="D14" s="26">
        <v>27911155911</v>
      </c>
      <c r="E14" s="26" t="s">
        <v>41</v>
      </c>
      <c r="F14" s="27"/>
      <c r="G14" s="27"/>
      <c r="H14" s="26"/>
      <c r="I14" s="26"/>
      <c r="J14" s="20"/>
      <c r="K14" s="28" t="s">
        <v>38</v>
      </c>
      <c r="L14" s="18"/>
    </row>
    <row r="15" spans="1:12" s="19" customFormat="1" ht="13.9" customHeight="1" x14ac:dyDescent="0.2">
      <c r="A15" s="66">
        <v>2026</v>
      </c>
      <c r="B15" s="68"/>
      <c r="C15" s="32"/>
      <c r="D15" s="32" t="s">
        <v>356</v>
      </c>
      <c r="E15" s="32" t="s">
        <v>357</v>
      </c>
      <c r="F15" s="33"/>
      <c r="G15" s="33"/>
      <c r="H15" s="32"/>
      <c r="I15" s="32"/>
      <c r="J15" s="69"/>
      <c r="K15" s="29"/>
      <c r="L15" s="18"/>
    </row>
    <row r="16" spans="1:12" s="19" customFormat="1" ht="13.9" customHeight="1" x14ac:dyDescent="0.2">
      <c r="B16" s="21"/>
      <c r="C16" s="21"/>
      <c r="D16" s="21"/>
      <c r="E16" s="21"/>
      <c r="F16" s="22"/>
      <c r="G16" s="22" t="s">
        <v>42</v>
      </c>
      <c r="H16" s="21"/>
      <c r="I16" s="21"/>
      <c r="J16" s="20" t="s">
        <v>43</v>
      </c>
      <c r="K16" s="58" t="s">
        <v>44</v>
      </c>
      <c r="L16" s="18"/>
    </row>
    <row r="17" spans="2:12" s="39" customFormat="1" ht="13.9" customHeight="1" x14ac:dyDescent="0.2">
      <c r="B17" s="35" t="s">
        <v>23</v>
      </c>
      <c r="C17" s="35" t="s">
        <v>10</v>
      </c>
      <c r="D17" s="35">
        <v>72945728922</v>
      </c>
      <c r="E17" s="35" t="s">
        <v>45</v>
      </c>
      <c r="F17" s="35" t="s">
        <v>46</v>
      </c>
      <c r="G17" s="34"/>
      <c r="H17" s="35"/>
      <c r="I17" s="34" t="s">
        <v>47</v>
      </c>
      <c r="J17" s="37"/>
      <c r="K17" s="36" t="s">
        <v>48</v>
      </c>
      <c r="L17" s="38"/>
    </row>
    <row r="18" spans="2:12" s="39" customFormat="1" ht="13.9" customHeight="1" x14ac:dyDescent="0.2">
      <c r="B18" s="35" t="s">
        <v>23</v>
      </c>
      <c r="C18" s="35" t="s">
        <v>10</v>
      </c>
      <c r="D18" s="35">
        <v>72945728491</v>
      </c>
      <c r="E18" s="35" t="s">
        <v>49</v>
      </c>
      <c r="F18" s="34"/>
      <c r="G18" s="34"/>
      <c r="H18" s="35"/>
      <c r="I18" s="34" t="s">
        <v>47</v>
      </c>
      <c r="J18" s="37"/>
      <c r="K18" s="36" t="s">
        <v>48</v>
      </c>
      <c r="L18" s="38"/>
    </row>
    <row r="19" spans="2:12" s="39" customFormat="1" ht="13.9" customHeight="1" x14ac:dyDescent="0.2">
      <c r="B19" s="35"/>
      <c r="C19" s="35"/>
      <c r="D19" s="35">
        <v>72945728933</v>
      </c>
      <c r="E19" s="35"/>
      <c r="F19" s="34"/>
      <c r="G19" s="34"/>
      <c r="H19" s="35"/>
      <c r="I19" s="34"/>
      <c r="J19" s="37"/>
      <c r="K19" s="36" t="s">
        <v>48</v>
      </c>
      <c r="L19" s="38"/>
    </row>
    <row r="20" spans="2:12" ht="13.9" customHeight="1" x14ac:dyDescent="0.2">
      <c r="B20" s="76"/>
      <c r="C20" s="26"/>
      <c r="D20" s="26"/>
      <c r="E20" s="26"/>
      <c r="G20" s="27"/>
      <c r="H20" s="26"/>
      <c r="I20" s="27"/>
      <c r="J20" s="49"/>
      <c r="K20" s="28"/>
      <c r="L20" s="38"/>
    </row>
    <row r="21" spans="2:12" ht="13.9" customHeight="1" x14ac:dyDescent="0.2">
      <c r="B21" s="76"/>
      <c r="C21" s="26"/>
      <c r="D21" s="26"/>
      <c r="E21" s="26"/>
      <c r="G21" s="27"/>
      <c r="H21" s="26"/>
      <c r="I21" s="27"/>
      <c r="J21" s="49"/>
      <c r="K21" s="28"/>
      <c r="L21" s="38"/>
    </row>
    <row r="22" spans="2:12" ht="13.9" customHeight="1" x14ac:dyDescent="0.2">
      <c r="B22" s="76"/>
      <c r="C22" s="26"/>
      <c r="D22" s="26"/>
      <c r="E22" s="26"/>
      <c r="G22" s="27"/>
      <c r="H22" s="26"/>
      <c r="I22" s="27"/>
      <c r="J22" s="49"/>
      <c r="K22" s="28"/>
      <c r="L22" s="38"/>
    </row>
    <row r="23" spans="2:12" ht="13.9" customHeight="1" x14ac:dyDescent="0.2">
      <c r="B23" s="76"/>
      <c r="C23" s="26"/>
      <c r="D23" s="26"/>
      <c r="E23" s="26"/>
      <c r="G23" s="27"/>
      <c r="H23" s="26"/>
      <c r="I23" s="27"/>
      <c r="J23" s="49"/>
      <c r="K23" s="28"/>
      <c r="L23" s="38"/>
    </row>
    <row r="24" spans="2:12" ht="13.9" customHeight="1" x14ac:dyDescent="0.2">
      <c r="B24" s="76"/>
      <c r="C24" s="26"/>
      <c r="D24" s="26"/>
      <c r="E24" s="26"/>
      <c r="G24" s="27"/>
      <c r="H24" s="26"/>
      <c r="I24" s="27"/>
      <c r="J24" s="49"/>
      <c r="K24" s="28"/>
      <c r="L24" s="38"/>
    </row>
    <row r="25" spans="2:12" ht="13.9" customHeight="1" x14ac:dyDescent="0.2">
      <c r="B25" s="76"/>
      <c r="C25" s="26"/>
      <c r="D25" s="26"/>
      <c r="E25" s="26"/>
      <c r="G25" s="27"/>
      <c r="H25" s="26"/>
      <c r="I25" s="27"/>
      <c r="J25" s="49"/>
      <c r="K25" s="28"/>
      <c r="L25" s="38"/>
    </row>
    <row r="26" spans="2:12" ht="13.9" customHeight="1" x14ac:dyDescent="0.2">
      <c r="B26" s="76"/>
      <c r="C26" s="26"/>
      <c r="D26" s="26"/>
      <c r="E26" s="26"/>
      <c r="G26" s="27"/>
      <c r="H26" s="26"/>
      <c r="I26" s="27"/>
      <c r="J26" s="49"/>
      <c r="K26" s="28"/>
      <c r="L26" s="38"/>
    </row>
    <row r="27" spans="2:12" ht="13.9" customHeight="1" x14ac:dyDescent="0.2">
      <c r="B27" s="76"/>
      <c r="C27" s="26"/>
      <c r="D27" s="26"/>
      <c r="E27" s="26"/>
      <c r="G27" s="27"/>
      <c r="H27" s="26"/>
      <c r="I27" s="27"/>
      <c r="J27" s="49"/>
      <c r="K27" s="28"/>
      <c r="L27" s="38"/>
    </row>
    <row r="28" spans="2:12" ht="13.9" customHeight="1" x14ac:dyDescent="0.2">
      <c r="B28" s="76"/>
      <c r="C28" s="26"/>
      <c r="D28" s="26"/>
      <c r="E28" s="26"/>
      <c r="G28" s="27"/>
      <c r="H28" s="26"/>
      <c r="I28" s="27"/>
      <c r="J28" s="49"/>
      <c r="K28" s="28"/>
      <c r="L28" s="38"/>
    </row>
    <row r="29" spans="2:12" ht="13.9" customHeight="1" x14ac:dyDescent="0.2">
      <c r="B29" s="76"/>
      <c r="C29" s="26"/>
      <c r="D29" s="26"/>
      <c r="E29" s="26"/>
      <c r="G29" s="27"/>
      <c r="H29" s="26"/>
      <c r="I29" s="27"/>
      <c r="J29" s="49"/>
      <c r="K29" s="28"/>
      <c r="L29" s="38"/>
    </row>
    <row r="30" spans="2:12" ht="13.9" customHeight="1" x14ac:dyDescent="0.2">
      <c r="B30" s="76"/>
      <c r="C30" s="26"/>
      <c r="D30" s="26"/>
      <c r="E30" s="26"/>
      <c r="G30" s="27"/>
      <c r="H30" s="26"/>
      <c r="I30" s="27"/>
      <c r="J30" s="49"/>
      <c r="K30" s="28"/>
      <c r="L30" s="38"/>
    </row>
    <row r="31" spans="2:12" ht="13.9" customHeight="1" x14ac:dyDescent="0.2">
      <c r="B31" s="76"/>
      <c r="C31" s="26"/>
      <c r="D31" s="26"/>
      <c r="E31" s="26"/>
      <c r="G31" s="27"/>
      <c r="H31" s="26"/>
      <c r="I31" s="27"/>
      <c r="J31" s="49"/>
      <c r="K31" s="28"/>
      <c r="L31" s="38"/>
    </row>
    <row r="32" spans="2:12" ht="13.9" customHeight="1" x14ac:dyDescent="0.2">
      <c r="B32" s="76"/>
      <c r="C32" s="26"/>
      <c r="D32" s="26"/>
      <c r="E32" s="26"/>
      <c r="G32" s="27"/>
      <c r="H32" s="26"/>
      <c r="I32" s="27"/>
      <c r="J32" s="49"/>
      <c r="K32" s="28"/>
      <c r="L32" s="38"/>
    </row>
    <row r="33" spans="2:12" ht="13.9" customHeight="1" x14ac:dyDescent="0.2">
      <c r="B33" s="76"/>
      <c r="C33" s="26"/>
      <c r="D33" s="26"/>
      <c r="E33" s="26"/>
      <c r="G33" s="27"/>
      <c r="H33" s="26"/>
      <c r="I33" s="27"/>
      <c r="J33" s="49"/>
      <c r="K33" s="28"/>
      <c r="L33" s="38"/>
    </row>
    <row r="34" spans="2:12" ht="13.9" customHeight="1" x14ac:dyDescent="0.2">
      <c r="B34" s="76"/>
      <c r="C34" s="26"/>
      <c r="D34" s="26"/>
      <c r="E34" s="26"/>
      <c r="G34" s="27"/>
      <c r="H34" s="26"/>
      <c r="I34" s="27"/>
      <c r="J34" s="49"/>
      <c r="K34" s="28"/>
      <c r="L34" s="38"/>
    </row>
    <row r="35" spans="2:12" ht="13.9" customHeight="1" x14ac:dyDescent="0.2">
      <c r="B35" s="76"/>
      <c r="C35" s="26"/>
      <c r="D35" s="26"/>
      <c r="E35" s="26"/>
      <c r="G35" s="27"/>
      <c r="H35" s="26"/>
      <c r="I35" s="27"/>
      <c r="J35" s="49"/>
      <c r="K35" s="28"/>
      <c r="L35" s="38"/>
    </row>
    <row r="36" spans="2:12" ht="13.9" customHeight="1" x14ac:dyDescent="0.2">
      <c r="B36" s="76"/>
      <c r="C36" s="26"/>
      <c r="D36" s="26"/>
      <c r="E36" s="26"/>
      <c r="G36" s="27"/>
      <c r="H36" s="26"/>
      <c r="I36" s="27"/>
      <c r="J36" s="49"/>
      <c r="K36" s="28"/>
      <c r="L36" s="38"/>
    </row>
    <row r="37" spans="2:12" ht="13.9" customHeight="1" x14ac:dyDescent="0.2">
      <c r="B37" s="76"/>
      <c r="C37" s="26"/>
      <c r="D37" s="26"/>
      <c r="E37" s="26"/>
      <c r="G37" s="27"/>
      <c r="H37" s="26"/>
      <c r="I37" s="27"/>
      <c r="J37" s="49"/>
      <c r="K37" s="28"/>
      <c r="L37" s="38"/>
    </row>
    <row r="38" spans="2:12" ht="13.9" customHeight="1" x14ac:dyDescent="0.2">
      <c r="B38" s="76"/>
      <c r="C38" s="26"/>
      <c r="D38" s="26"/>
      <c r="E38" s="26"/>
      <c r="G38" s="27"/>
      <c r="H38" s="26"/>
      <c r="I38" s="27"/>
      <c r="J38" s="49"/>
      <c r="K38" s="28"/>
      <c r="L38" s="38"/>
    </row>
    <row r="39" spans="2:12" ht="13.9" customHeight="1" x14ac:dyDescent="0.2">
      <c r="B39" s="76"/>
      <c r="C39" s="26"/>
      <c r="D39" s="26"/>
      <c r="E39" s="26"/>
      <c r="G39" s="27"/>
      <c r="H39" s="26"/>
      <c r="I39" s="27"/>
      <c r="J39" s="49"/>
      <c r="K39" s="28"/>
      <c r="L39" s="38"/>
    </row>
    <row r="40" spans="2:12" ht="13.9" customHeight="1" x14ac:dyDescent="0.2">
      <c r="B40" s="76"/>
      <c r="C40" s="26"/>
      <c r="D40" s="26"/>
      <c r="E40" s="26"/>
      <c r="G40" s="27"/>
      <c r="H40" s="26"/>
      <c r="I40" s="27"/>
      <c r="J40" s="49"/>
      <c r="K40" s="28"/>
      <c r="L40" s="38"/>
    </row>
    <row r="41" spans="2:12" ht="13.9" customHeight="1" x14ac:dyDescent="0.2">
      <c r="B41" s="76"/>
      <c r="C41" s="26"/>
      <c r="D41" s="26"/>
      <c r="E41" s="26"/>
      <c r="G41" s="27"/>
      <c r="H41" s="26"/>
      <c r="I41" s="27"/>
      <c r="J41" s="49"/>
      <c r="K41" s="28"/>
      <c r="L41" s="38"/>
    </row>
    <row r="42" spans="2:12" ht="13.9" customHeight="1" x14ac:dyDescent="0.2">
      <c r="B42" s="76"/>
      <c r="C42" s="26"/>
      <c r="D42" s="26"/>
      <c r="E42" s="26"/>
      <c r="G42" s="27"/>
      <c r="H42" s="26"/>
      <c r="I42" s="27"/>
      <c r="J42" s="49"/>
      <c r="K42" s="28"/>
      <c r="L42" s="38"/>
    </row>
    <row r="43" spans="2:12" ht="13.9" customHeight="1" x14ac:dyDescent="0.2">
      <c r="B43" s="76"/>
      <c r="C43" s="26"/>
      <c r="D43" s="26"/>
      <c r="E43" s="26"/>
      <c r="G43" s="27"/>
      <c r="H43" s="26"/>
      <c r="I43" s="27"/>
      <c r="J43" s="49"/>
      <c r="K43" s="28"/>
      <c r="L43" s="38"/>
    </row>
    <row r="44" spans="2:12" ht="13.9" customHeight="1" x14ac:dyDescent="0.2">
      <c r="B44" s="76"/>
      <c r="C44" s="26"/>
      <c r="D44" s="26"/>
      <c r="E44" s="26"/>
      <c r="G44" s="27"/>
      <c r="H44" s="26"/>
      <c r="I44" s="27"/>
      <c r="J44" s="49"/>
      <c r="K44" s="28"/>
      <c r="L44" s="38"/>
    </row>
    <row r="45" spans="2:12" ht="13.9" customHeight="1" x14ac:dyDescent="0.2">
      <c r="B45" s="76"/>
      <c r="C45" s="26"/>
      <c r="D45" s="26"/>
      <c r="E45" s="26"/>
      <c r="G45" s="27"/>
      <c r="H45" s="26"/>
      <c r="I45" s="27"/>
      <c r="J45" s="49"/>
      <c r="K45" s="28"/>
      <c r="L45" s="38"/>
    </row>
    <row r="46" spans="2:12" ht="13.9" customHeight="1" x14ac:dyDescent="0.2">
      <c r="B46" s="76"/>
      <c r="C46" s="26"/>
      <c r="D46" s="26"/>
      <c r="E46" s="26"/>
      <c r="G46" s="27"/>
      <c r="H46" s="26"/>
      <c r="I46" s="27"/>
      <c r="J46" s="49"/>
      <c r="K46" s="28"/>
      <c r="L46" s="38"/>
    </row>
    <row r="47" spans="2:12" ht="13.9" customHeight="1" x14ac:dyDescent="0.2">
      <c r="B47" s="76"/>
      <c r="C47" s="26"/>
      <c r="D47" s="26"/>
      <c r="E47" s="26"/>
      <c r="G47" s="27"/>
      <c r="H47" s="26"/>
      <c r="I47" s="27"/>
      <c r="J47" s="49"/>
      <c r="K47" s="28"/>
      <c r="L47" s="38"/>
    </row>
    <row r="48" spans="2:12" ht="13.9" customHeight="1" x14ac:dyDescent="0.2">
      <c r="B48" s="76"/>
      <c r="C48" s="26"/>
      <c r="D48" s="26"/>
      <c r="E48" s="26"/>
      <c r="G48" s="27"/>
      <c r="H48" s="26"/>
      <c r="I48" s="27"/>
      <c r="J48" s="49"/>
      <c r="K48" s="28"/>
      <c r="L48" s="38"/>
    </row>
    <row r="49" spans="2:12" ht="13.9" customHeight="1" x14ac:dyDescent="0.2">
      <c r="B49" s="76"/>
      <c r="C49" s="26"/>
      <c r="D49" s="26"/>
      <c r="E49" s="26"/>
      <c r="G49" s="27"/>
      <c r="H49" s="26"/>
      <c r="I49" s="27"/>
      <c r="J49" s="49"/>
      <c r="K49" s="28"/>
      <c r="L49" s="38"/>
    </row>
    <row r="50" spans="2:12" ht="13.9" customHeight="1" x14ac:dyDescent="0.2">
      <c r="B50" s="76"/>
      <c r="C50" s="26"/>
      <c r="D50" s="26"/>
      <c r="E50" s="26"/>
      <c r="G50" s="27"/>
      <c r="H50" s="26"/>
      <c r="I50" s="27"/>
      <c r="J50" s="49"/>
      <c r="K50" s="28"/>
      <c r="L50" s="38"/>
    </row>
    <row r="51" spans="2:12" ht="13.9" customHeight="1" x14ac:dyDescent="0.2">
      <c r="B51" s="76"/>
      <c r="C51" s="26"/>
      <c r="D51" s="26"/>
      <c r="E51" s="26"/>
      <c r="G51" s="27"/>
      <c r="H51" s="26"/>
      <c r="I51" s="27"/>
      <c r="J51" s="49"/>
      <c r="K51" s="28"/>
      <c r="L51" s="38"/>
    </row>
    <row r="52" spans="2:12" ht="13.9" customHeight="1" x14ac:dyDescent="0.2">
      <c r="B52" s="76"/>
      <c r="C52" s="26"/>
      <c r="D52" s="26"/>
      <c r="E52" s="26"/>
      <c r="G52" s="27"/>
      <c r="H52" s="26"/>
      <c r="I52" s="27"/>
      <c r="J52" s="49"/>
      <c r="K52" s="28"/>
      <c r="L52" s="38"/>
    </row>
    <row r="53" spans="2:12" ht="13.9" customHeight="1" x14ac:dyDescent="0.2">
      <c r="B53" s="76"/>
      <c r="C53" s="26"/>
      <c r="D53" s="26"/>
      <c r="E53" s="26"/>
      <c r="G53" s="27"/>
      <c r="H53" s="26"/>
      <c r="I53" s="27"/>
      <c r="J53" s="49"/>
      <c r="K53" s="28"/>
      <c r="L53" s="38"/>
    </row>
    <row r="54" spans="2:12" ht="13.9" customHeight="1" x14ac:dyDescent="0.2">
      <c r="B54" s="76"/>
      <c r="C54" s="26"/>
      <c r="D54" s="26"/>
      <c r="E54" s="26"/>
      <c r="G54" s="27"/>
      <c r="H54" s="26"/>
      <c r="I54" s="27"/>
      <c r="J54" s="49"/>
      <c r="K54" s="28"/>
      <c r="L54" s="38"/>
    </row>
    <row r="55" spans="2:12" ht="13.9" customHeight="1" x14ac:dyDescent="0.2">
      <c r="B55" s="76"/>
      <c r="C55" s="26"/>
      <c r="D55" s="26"/>
      <c r="E55" s="26"/>
      <c r="G55" s="27"/>
      <c r="H55" s="26"/>
      <c r="I55" s="27"/>
      <c r="J55" s="49"/>
      <c r="K55" s="28"/>
      <c r="L55" s="38"/>
    </row>
    <row r="56" spans="2:12" ht="13.9" customHeight="1" x14ac:dyDescent="0.2">
      <c r="B56" s="76"/>
      <c r="C56" s="26"/>
      <c r="D56" s="26"/>
      <c r="E56" s="26"/>
      <c r="G56" s="27"/>
      <c r="H56" s="26"/>
      <c r="I56" s="27"/>
      <c r="J56" s="49"/>
      <c r="K56" s="28"/>
      <c r="L56" s="38"/>
    </row>
    <row r="57" spans="2:12" ht="13.9" customHeight="1" x14ac:dyDescent="0.2">
      <c r="B57" s="76"/>
      <c r="C57" s="26"/>
      <c r="D57" s="26"/>
      <c r="E57" s="26"/>
      <c r="G57" s="27"/>
      <c r="H57" s="26"/>
      <c r="I57" s="27"/>
      <c r="J57" s="49"/>
      <c r="K57" s="28"/>
      <c r="L57" s="38"/>
    </row>
    <row r="58" spans="2:12" ht="13.9" customHeight="1" x14ac:dyDescent="0.2">
      <c r="B58" s="76"/>
      <c r="C58" s="26"/>
      <c r="D58" s="26"/>
      <c r="E58" s="26"/>
      <c r="G58" s="27"/>
      <c r="H58" s="26"/>
      <c r="I58" s="27"/>
      <c r="J58" s="49"/>
      <c r="K58" s="28"/>
      <c r="L58" s="38"/>
    </row>
    <row r="59" spans="2:12" ht="13.9" customHeight="1" x14ac:dyDescent="0.2">
      <c r="B59" s="76"/>
      <c r="C59" s="26"/>
      <c r="D59" s="26"/>
      <c r="E59" s="26"/>
      <c r="G59" s="27"/>
      <c r="H59" s="26"/>
      <c r="I59" s="27"/>
      <c r="J59" s="49"/>
      <c r="K59" s="28"/>
      <c r="L59" s="38"/>
    </row>
    <row r="60" spans="2:12" ht="13.9" customHeight="1" x14ac:dyDescent="0.2">
      <c r="B60" s="76"/>
      <c r="C60" s="26"/>
      <c r="D60" s="26"/>
      <c r="E60" s="26"/>
      <c r="G60" s="27"/>
      <c r="H60" s="26"/>
      <c r="I60" s="27"/>
      <c r="J60" s="49"/>
      <c r="K60" s="28"/>
      <c r="L60" s="38"/>
    </row>
    <row r="61" spans="2:12" ht="13.9" customHeight="1" x14ac:dyDescent="0.2">
      <c r="B61" s="76"/>
      <c r="C61" s="26"/>
      <c r="D61" s="26"/>
      <c r="E61" s="26"/>
      <c r="G61" s="27"/>
      <c r="H61" s="26"/>
      <c r="I61" s="27"/>
      <c r="J61" s="49"/>
      <c r="K61" s="28"/>
      <c r="L61" s="38"/>
    </row>
    <row r="62" spans="2:12" ht="13.9" customHeight="1" x14ac:dyDescent="0.2">
      <c r="B62" s="76"/>
      <c r="C62" s="26"/>
      <c r="D62" s="26"/>
      <c r="E62" s="26"/>
      <c r="G62" s="27"/>
      <c r="H62" s="26"/>
      <c r="I62" s="27"/>
      <c r="J62" s="49"/>
      <c r="K62" s="28"/>
      <c r="L62" s="38"/>
    </row>
    <row r="63" spans="2:12" ht="13.9" customHeight="1" x14ac:dyDescent="0.2">
      <c r="B63" s="76"/>
      <c r="C63" s="26"/>
      <c r="D63" s="26"/>
      <c r="E63" s="26"/>
      <c r="G63" s="27"/>
      <c r="H63" s="26"/>
      <c r="I63" s="27"/>
      <c r="J63" s="49"/>
      <c r="K63" s="28"/>
      <c r="L63" s="38"/>
    </row>
    <row r="64" spans="2:12" ht="13.9" customHeight="1" x14ac:dyDescent="0.2">
      <c r="B64" s="76"/>
      <c r="C64" s="26"/>
      <c r="D64" s="26"/>
      <c r="E64" s="26"/>
      <c r="G64" s="27"/>
      <c r="H64" s="26"/>
      <c r="I64" s="27"/>
      <c r="J64" s="49"/>
      <c r="K64" s="28"/>
      <c r="L64" s="38"/>
    </row>
    <row r="65" spans="2:12" ht="13.9" customHeight="1" x14ac:dyDescent="0.2">
      <c r="B65" s="76"/>
      <c r="C65" s="26"/>
      <c r="D65" s="26"/>
      <c r="E65" s="26"/>
      <c r="G65" s="27"/>
      <c r="H65" s="26"/>
      <c r="I65" s="27"/>
      <c r="J65" s="49"/>
      <c r="K65" s="28"/>
      <c r="L65" s="38"/>
    </row>
    <row r="66" spans="2:12" ht="13.9" customHeight="1" x14ac:dyDescent="0.2">
      <c r="B66" s="76"/>
      <c r="C66" s="26"/>
      <c r="D66" s="26"/>
      <c r="E66" s="26"/>
      <c r="G66" s="27"/>
      <c r="H66" s="26"/>
      <c r="I66" s="27"/>
      <c r="J66" s="49"/>
      <c r="K66" s="28"/>
      <c r="L66" s="38"/>
    </row>
    <row r="67" spans="2:12" ht="13.9" customHeight="1" x14ac:dyDescent="0.2">
      <c r="B67" s="76"/>
      <c r="C67" s="26"/>
      <c r="D67" s="26"/>
      <c r="E67" s="26"/>
      <c r="G67" s="27"/>
      <c r="H67" s="26"/>
      <c r="I67" s="27"/>
      <c r="J67" s="49"/>
      <c r="K67" s="28"/>
      <c r="L67" s="38"/>
    </row>
    <row r="68" spans="2:12" ht="13.9" customHeight="1" x14ac:dyDescent="0.2">
      <c r="B68" s="76"/>
      <c r="C68" s="26"/>
      <c r="D68" s="26"/>
      <c r="E68" s="26"/>
      <c r="G68" s="27"/>
      <c r="H68" s="26"/>
      <c r="I68" s="27"/>
      <c r="J68" s="49"/>
      <c r="K68" s="28"/>
      <c r="L68" s="38"/>
    </row>
    <row r="69" spans="2:12" ht="13.9" customHeight="1" x14ac:dyDescent="0.2">
      <c r="B69" s="76"/>
      <c r="C69" s="26"/>
      <c r="D69" s="26"/>
      <c r="E69" s="26"/>
      <c r="G69" s="27"/>
      <c r="H69" s="26"/>
      <c r="I69" s="27"/>
      <c r="J69" s="49"/>
      <c r="K69" s="28"/>
      <c r="L69" s="38"/>
    </row>
    <row r="70" spans="2:12" ht="13.9" customHeight="1" x14ac:dyDescent="0.2">
      <c r="B70" s="76"/>
      <c r="C70" s="26"/>
      <c r="D70" s="26"/>
      <c r="E70" s="26"/>
      <c r="G70" s="27"/>
      <c r="H70" s="26"/>
      <c r="I70" s="27"/>
      <c r="J70" s="49"/>
      <c r="K70" s="28"/>
      <c r="L70" s="38"/>
    </row>
    <row r="71" spans="2:12" ht="13.9" customHeight="1" x14ac:dyDescent="0.2">
      <c r="B71" s="76"/>
      <c r="C71" s="26"/>
      <c r="D71" s="26"/>
      <c r="E71" s="26"/>
      <c r="G71" s="27"/>
      <c r="H71" s="26"/>
      <c r="I71" s="27"/>
      <c r="J71" s="49"/>
      <c r="K71" s="28"/>
      <c r="L71" s="38"/>
    </row>
    <row r="72" spans="2:12" ht="13.9" customHeight="1" x14ac:dyDescent="0.2">
      <c r="B72" s="76"/>
      <c r="C72" s="26"/>
      <c r="D72" s="26"/>
      <c r="E72" s="26"/>
      <c r="G72" s="27"/>
      <c r="H72" s="26"/>
      <c r="I72" s="27"/>
      <c r="J72" s="49"/>
      <c r="K72" s="28"/>
      <c r="L72" s="38"/>
    </row>
    <row r="73" spans="2:12" ht="13.9" customHeight="1" x14ac:dyDescent="0.2">
      <c r="B73" s="76"/>
      <c r="C73" s="26"/>
      <c r="D73" s="26"/>
      <c r="E73" s="26"/>
      <c r="G73" s="27"/>
      <c r="H73" s="26"/>
      <c r="I73" s="27"/>
      <c r="J73" s="49"/>
      <c r="K73" s="28"/>
      <c r="L73" s="38"/>
    </row>
    <row r="74" spans="2:12" ht="13.9" customHeight="1" x14ac:dyDescent="0.2">
      <c r="B74" s="76"/>
      <c r="C74" s="26"/>
      <c r="D74" s="26"/>
      <c r="E74" s="26"/>
      <c r="G74" s="27"/>
      <c r="H74" s="26"/>
      <c r="I74" s="27"/>
      <c r="J74" s="49"/>
      <c r="K74" s="28"/>
      <c r="L74" s="38"/>
    </row>
    <row r="75" spans="2:12" ht="13.9" customHeight="1" x14ac:dyDescent="0.2">
      <c r="B75" s="76"/>
      <c r="C75" s="26"/>
      <c r="D75" s="26"/>
      <c r="E75" s="26"/>
      <c r="G75" s="27"/>
      <c r="H75" s="26"/>
      <c r="I75" s="27"/>
      <c r="J75" s="49"/>
      <c r="K75" s="28"/>
      <c r="L75" s="38"/>
    </row>
    <row r="76" spans="2:12" ht="13.9" customHeight="1" x14ac:dyDescent="0.2">
      <c r="B76" s="76"/>
      <c r="C76" s="26"/>
      <c r="D76" s="26"/>
      <c r="E76" s="26"/>
      <c r="G76" s="27"/>
      <c r="H76" s="26"/>
      <c r="I76" s="27"/>
      <c r="J76" s="49"/>
      <c r="K76" s="28"/>
      <c r="L76" s="38"/>
    </row>
    <row r="77" spans="2:12" ht="13.9" customHeight="1" x14ac:dyDescent="0.2">
      <c r="B77" s="76"/>
      <c r="C77" s="26"/>
      <c r="D77" s="26"/>
      <c r="E77" s="26"/>
      <c r="G77" s="27"/>
      <c r="H77" s="26"/>
      <c r="I77" s="27"/>
      <c r="J77" s="49"/>
      <c r="K77" s="28"/>
      <c r="L77" s="38"/>
    </row>
    <row r="78" spans="2:12" ht="13.9" customHeight="1" x14ac:dyDescent="0.2">
      <c r="B78" s="76"/>
      <c r="C78" s="26"/>
      <c r="D78" s="26"/>
      <c r="E78" s="26"/>
      <c r="G78" s="27"/>
      <c r="H78" s="26"/>
      <c r="I78" s="27"/>
      <c r="J78" s="49"/>
      <c r="K78" s="28"/>
      <c r="L78" s="38"/>
    </row>
    <row r="79" spans="2:12" ht="13.9" customHeight="1" x14ac:dyDescent="0.2">
      <c r="B79" s="76"/>
      <c r="C79" s="26"/>
      <c r="D79" s="26"/>
      <c r="E79" s="26"/>
      <c r="G79" s="27"/>
      <c r="H79" s="26"/>
      <c r="I79" s="27"/>
      <c r="J79" s="49"/>
      <c r="K79" s="28"/>
      <c r="L79" s="38"/>
    </row>
    <row r="80" spans="2:12" ht="13.9" customHeight="1" x14ac:dyDescent="0.2">
      <c r="B80" s="76"/>
      <c r="C80" s="26"/>
      <c r="D80" s="26"/>
      <c r="E80" s="26"/>
      <c r="G80" s="27"/>
      <c r="H80" s="26"/>
      <c r="I80" s="27"/>
      <c r="J80" s="49"/>
      <c r="K80" s="28"/>
      <c r="L80" s="38"/>
    </row>
    <row r="81" spans="1:12" ht="13.9" customHeight="1" x14ac:dyDescent="0.2">
      <c r="B81" s="76"/>
      <c r="C81" s="26"/>
      <c r="D81" s="26"/>
      <c r="E81" s="26"/>
      <c r="G81" s="27"/>
      <c r="H81" s="26"/>
      <c r="I81" s="27"/>
      <c r="J81" s="49"/>
      <c r="K81" s="28"/>
      <c r="L81" s="38"/>
    </row>
    <row r="82" spans="1:12" s="19" customFormat="1" ht="13.9" customHeight="1" x14ac:dyDescent="0.2">
      <c r="B82" s="76"/>
      <c r="C82" s="26"/>
      <c r="D82" s="26"/>
      <c r="E82" s="26"/>
      <c r="F82" s="22"/>
      <c r="G82" s="27"/>
      <c r="H82" s="26"/>
      <c r="I82" s="27"/>
      <c r="J82" s="49"/>
      <c r="K82" s="28"/>
      <c r="L82" s="38"/>
    </row>
    <row r="83" spans="1:12" s="19" customFormat="1" ht="13.9" customHeight="1" x14ac:dyDescent="0.2">
      <c r="B83" s="76"/>
      <c r="C83" s="26"/>
      <c r="D83" s="26"/>
      <c r="E83" s="26"/>
      <c r="F83" s="22"/>
      <c r="G83" s="27"/>
      <c r="H83" s="26"/>
      <c r="I83" s="27"/>
      <c r="J83" s="49"/>
      <c r="K83" s="28"/>
      <c r="L83" s="38"/>
    </row>
    <row r="84" spans="1:12" s="19" customFormat="1" ht="13.9" customHeight="1" x14ac:dyDescent="0.2">
      <c r="B84" s="76"/>
      <c r="C84" s="26"/>
      <c r="D84" s="26"/>
      <c r="E84" s="26"/>
      <c r="F84" s="22"/>
      <c r="G84" s="27"/>
      <c r="H84" s="26"/>
      <c r="I84" s="27"/>
      <c r="J84" s="49"/>
      <c r="K84" s="28"/>
      <c r="L84" s="38"/>
    </row>
    <row r="85" spans="1:12" s="19" customFormat="1" ht="13.9" customHeight="1" x14ac:dyDescent="0.2">
      <c r="B85" s="76"/>
      <c r="C85" s="26"/>
      <c r="D85" s="26"/>
      <c r="E85" s="26"/>
      <c r="F85" s="22"/>
      <c r="G85" s="27"/>
      <c r="H85" s="26"/>
      <c r="I85" s="27"/>
      <c r="J85" s="49"/>
      <c r="K85" s="28"/>
      <c r="L85" s="38"/>
    </row>
    <row r="86" spans="1:12" s="19" customFormat="1" ht="13.9" customHeight="1" x14ac:dyDescent="0.2">
      <c r="B86" s="76"/>
      <c r="C86" s="26"/>
      <c r="D86" s="26"/>
      <c r="E86" s="26"/>
      <c r="F86" s="22"/>
      <c r="G86" s="27"/>
      <c r="H86" s="26"/>
      <c r="I86" s="27"/>
      <c r="J86" s="49"/>
      <c r="K86" s="28"/>
      <c r="L86" s="38"/>
    </row>
    <row r="87" spans="1:12" s="19" customFormat="1" ht="13.9" customHeight="1" x14ac:dyDescent="0.2">
      <c r="B87" s="76"/>
      <c r="C87" s="26"/>
      <c r="D87" s="26"/>
      <c r="E87" s="26"/>
      <c r="F87" s="22"/>
      <c r="G87" s="27"/>
      <c r="H87" s="26"/>
      <c r="I87" s="27"/>
      <c r="J87" s="49"/>
      <c r="K87" s="28"/>
      <c r="L87" s="38"/>
    </row>
    <row r="88" spans="1:12" s="19" customFormat="1" ht="13.9" customHeight="1" x14ac:dyDescent="0.2">
      <c r="B88" s="76"/>
      <c r="C88" s="26"/>
      <c r="D88" s="26"/>
      <c r="E88" s="26"/>
      <c r="F88" s="22"/>
      <c r="G88" s="27"/>
      <c r="H88" s="26"/>
      <c r="I88" s="27"/>
      <c r="J88" s="49"/>
      <c r="K88" s="28"/>
      <c r="L88" s="38"/>
    </row>
    <row r="89" spans="1:12" s="19" customFormat="1" ht="13.9" customHeight="1" x14ac:dyDescent="0.2">
      <c r="B89" s="76"/>
      <c r="C89" s="26"/>
      <c r="D89" s="26"/>
      <c r="E89" s="26"/>
      <c r="F89" s="22"/>
      <c r="G89" s="27"/>
      <c r="H89" s="26"/>
      <c r="I89" s="27"/>
      <c r="J89" s="49"/>
      <c r="K89" s="28"/>
      <c r="L89" s="38"/>
    </row>
    <row r="90" spans="1:12" s="19" customFormat="1" ht="13.9" customHeight="1" x14ac:dyDescent="0.2">
      <c r="B90" s="76"/>
      <c r="C90" s="26"/>
      <c r="D90" s="26"/>
      <c r="E90" s="26"/>
      <c r="F90" s="22"/>
      <c r="G90" s="27"/>
      <c r="H90" s="26"/>
      <c r="I90" s="27"/>
      <c r="J90" s="49"/>
      <c r="K90" s="28"/>
      <c r="L90" s="38"/>
    </row>
    <row r="91" spans="1:12" ht="13.9" customHeight="1" x14ac:dyDescent="0.2">
      <c r="A91" s="21" t="s">
        <v>180</v>
      </c>
      <c r="B91" s="51" t="s">
        <v>207</v>
      </c>
      <c r="C91" s="21" t="s">
        <v>10</v>
      </c>
      <c r="D91" s="40" t="s">
        <v>195</v>
      </c>
      <c r="E91" s="21" t="s">
        <v>213</v>
      </c>
      <c r="F91" s="22" t="s">
        <v>208</v>
      </c>
      <c r="G91" s="22" t="s">
        <v>211</v>
      </c>
      <c r="H91" s="21">
        <v>2510563</v>
      </c>
      <c r="I91" s="21"/>
      <c r="J91" s="20"/>
      <c r="K91" s="58" t="s">
        <v>210</v>
      </c>
      <c r="L91" s="54" t="s">
        <v>311</v>
      </c>
    </row>
    <row r="92" spans="1:12" ht="13.9" customHeight="1" x14ac:dyDescent="0.2">
      <c r="A92" s="21" t="s">
        <v>180</v>
      </c>
      <c r="B92" s="51" t="s">
        <v>207</v>
      </c>
      <c r="C92" s="21" t="s">
        <v>10</v>
      </c>
      <c r="D92" s="40"/>
      <c r="E92" s="21" t="s">
        <v>212</v>
      </c>
      <c r="F92" s="22" t="s">
        <v>214</v>
      </c>
      <c r="G92" s="22"/>
      <c r="H92" s="21">
        <v>2510564</v>
      </c>
      <c r="I92" s="21"/>
      <c r="J92" s="20"/>
      <c r="K92" s="58" t="s">
        <v>215</v>
      </c>
      <c r="L92" s="54" t="s">
        <v>311</v>
      </c>
    </row>
    <row r="93" spans="1:12" ht="13.9" customHeight="1" x14ac:dyDescent="0.2">
      <c r="A93" s="21" t="s">
        <v>180</v>
      </c>
      <c r="B93" s="21" t="s">
        <v>12</v>
      </c>
      <c r="C93" s="21" t="s">
        <v>10</v>
      </c>
      <c r="D93" s="40">
        <v>72993104373</v>
      </c>
      <c r="E93" s="51" t="s">
        <v>243</v>
      </c>
      <c r="F93" s="22" t="s">
        <v>296</v>
      </c>
      <c r="G93" s="22" t="s">
        <v>284</v>
      </c>
      <c r="H93" s="21">
        <v>2600314</v>
      </c>
      <c r="I93" s="21" t="s">
        <v>253</v>
      </c>
      <c r="J93" s="20" t="s">
        <v>219</v>
      </c>
      <c r="K93" s="50" t="s">
        <v>309</v>
      </c>
      <c r="L93" s="75">
        <v>46030.912499999999</v>
      </c>
    </row>
    <row r="94" spans="1:12" ht="13.9" customHeight="1" x14ac:dyDescent="0.2">
      <c r="A94" s="21" t="s">
        <v>180</v>
      </c>
      <c r="B94" s="21" t="s">
        <v>12</v>
      </c>
      <c r="C94" s="21" t="s">
        <v>10</v>
      </c>
      <c r="D94" s="40">
        <v>72993104524</v>
      </c>
      <c r="E94" s="51" t="s">
        <v>247</v>
      </c>
      <c r="F94" s="22" t="s">
        <v>295</v>
      </c>
      <c r="G94" s="22" t="s">
        <v>283</v>
      </c>
      <c r="H94" s="21">
        <v>2600315</v>
      </c>
      <c r="I94" s="21" t="s">
        <v>253</v>
      </c>
      <c r="J94" s="20" t="s">
        <v>219</v>
      </c>
      <c r="K94" s="50" t="s">
        <v>309</v>
      </c>
      <c r="L94" s="75">
        <v>46031.613888888889</v>
      </c>
    </row>
    <row r="95" spans="1:12" ht="13.9" customHeight="1" x14ac:dyDescent="0.2">
      <c r="A95" s="21" t="s">
        <v>180</v>
      </c>
      <c r="B95" s="21" t="s">
        <v>12</v>
      </c>
      <c r="C95" s="21" t="s">
        <v>10</v>
      </c>
      <c r="D95" s="40">
        <v>72993104222</v>
      </c>
      <c r="E95" s="51" t="s">
        <v>244</v>
      </c>
      <c r="F95" s="22" t="s">
        <v>294</v>
      </c>
      <c r="G95" s="22" t="s">
        <v>281</v>
      </c>
      <c r="H95" s="21">
        <v>2600316</v>
      </c>
      <c r="I95" s="21" t="s">
        <v>252</v>
      </c>
      <c r="J95" s="20" t="s">
        <v>219</v>
      </c>
      <c r="K95" s="50" t="s">
        <v>309</v>
      </c>
      <c r="L95" s="75">
        <v>45665.56527777778</v>
      </c>
    </row>
    <row r="96" spans="1:12" ht="13.9" customHeight="1" x14ac:dyDescent="0.2">
      <c r="A96" s="21" t="s">
        <v>180</v>
      </c>
      <c r="B96" s="21" t="s">
        <v>12</v>
      </c>
      <c r="C96" s="21" t="s">
        <v>10</v>
      </c>
      <c r="D96" s="40">
        <v>72993104443</v>
      </c>
      <c r="E96" s="51" t="s">
        <v>246</v>
      </c>
      <c r="F96" s="22" t="s">
        <v>293</v>
      </c>
      <c r="G96" s="22" t="s">
        <v>282</v>
      </c>
      <c r="H96" s="21">
        <v>2600317</v>
      </c>
      <c r="I96" s="21" t="s">
        <v>254</v>
      </c>
      <c r="J96" s="20" t="s">
        <v>219</v>
      </c>
      <c r="K96" s="50" t="s">
        <v>309</v>
      </c>
      <c r="L96" s="75">
        <v>46031.643750000003</v>
      </c>
    </row>
    <row r="97" spans="1:12" ht="13.9" customHeight="1" x14ac:dyDescent="0.2">
      <c r="A97" s="21" t="s">
        <v>180</v>
      </c>
      <c r="B97" s="21" t="s">
        <v>12</v>
      </c>
      <c r="C97" s="21" t="s">
        <v>10</v>
      </c>
      <c r="D97" s="40">
        <v>20231479243</v>
      </c>
      <c r="E97" s="51" t="s">
        <v>259</v>
      </c>
      <c r="F97" s="22" t="s">
        <v>292</v>
      </c>
      <c r="G97" s="55" t="s">
        <v>276</v>
      </c>
      <c r="H97" s="21">
        <v>2600318</v>
      </c>
      <c r="I97" s="21" t="s">
        <v>272</v>
      </c>
      <c r="J97" s="20" t="s">
        <v>219</v>
      </c>
      <c r="K97" s="50" t="s">
        <v>309</v>
      </c>
      <c r="L97" s="75">
        <v>46032.003472222219</v>
      </c>
    </row>
    <row r="98" spans="1:12" ht="13.9" customHeight="1" x14ac:dyDescent="0.2">
      <c r="A98" s="21" t="s">
        <v>180</v>
      </c>
      <c r="B98" s="21" t="s">
        <v>12</v>
      </c>
      <c r="C98" s="21" t="s">
        <v>10</v>
      </c>
      <c r="D98" s="21">
        <v>72945863742</v>
      </c>
      <c r="E98" s="21" t="s">
        <v>230</v>
      </c>
      <c r="F98" s="22" t="s">
        <v>291</v>
      </c>
      <c r="G98" s="22" t="s">
        <v>279</v>
      </c>
      <c r="H98" s="21">
        <v>2600319</v>
      </c>
      <c r="I98" s="21" t="s">
        <v>256</v>
      </c>
      <c r="J98" s="20" t="s">
        <v>219</v>
      </c>
      <c r="K98" s="50" t="s">
        <v>309</v>
      </c>
      <c r="L98" s="75">
        <v>46030.801388888889</v>
      </c>
    </row>
    <row r="99" spans="1:12" ht="13.9" customHeight="1" x14ac:dyDescent="0.2">
      <c r="A99" s="21" t="s">
        <v>180</v>
      </c>
      <c r="B99" s="21" t="s">
        <v>12</v>
      </c>
      <c r="C99" s="21" t="s">
        <v>10</v>
      </c>
      <c r="D99" s="40">
        <v>72945864140</v>
      </c>
      <c r="E99" s="51" t="s">
        <v>266</v>
      </c>
      <c r="F99" s="22" t="s">
        <v>290</v>
      </c>
      <c r="G99" s="55" t="s">
        <v>280</v>
      </c>
      <c r="H99" s="21">
        <v>2600320</v>
      </c>
      <c r="I99" s="21" t="s">
        <v>254</v>
      </c>
      <c r="J99" s="20" t="s">
        <v>219</v>
      </c>
      <c r="K99" s="50" t="s">
        <v>309</v>
      </c>
      <c r="L99" s="75">
        <v>46032.434027777781</v>
      </c>
    </row>
    <row r="100" spans="1:12" ht="13.9" customHeight="1" x14ac:dyDescent="0.2">
      <c r="A100" s="21" t="s">
        <v>180</v>
      </c>
      <c r="B100" s="21" t="s">
        <v>12</v>
      </c>
      <c r="C100" s="21" t="s">
        <v>10</v>
      </c>
      <c r="D100" s="40">
        <v>20231465954</v>
      </c>
      <c r="E100" s="51" t="s">
        <v>269</v>
      </c>
      <c r="F100" s="22" t="s">
        <v>288</v>
      </c>
      <c r="G100" s="55" t="s">
        <v>277</v>
      </c>
      <c r="H100" s="21">
        <v>2600322</v>
      </c>
      <c r="I100" s="21" t="s">
        <v>272</v>
      </c>
      <c r="J100" s="20" t="s">
        <v>219</v>
      </c>
      <c r="K100" s="50" t="s">
        <v>309</v>
      </c>
      <c r="L100" s="75">
        <v>46032.62222222222</v>
      </c>
    </row>
    <row r="101" spans="1:12" ht="13.9" customHeight="1" x14ac:dyDescent="0.2">
      <c r="A101" s="21" t="s">
        <v>180</v>
      </c>
      <c r="B101" s="21" t="s">
        <v>12</v>
      </c>
      <c r="C101" s="21" t="s">
        <v>10</v>
      </c>
      <c r="D101" s="21">
        <v>72945864151</v>
      </c>
      <c r="E101" s="51" t="s">
        <v>241</v>
      </c>
      <c r="F101" s="22" t="s">
        <v>289</v>
      </c>
      <c r="G101" s="22" t="s">
        <v>287</v>
      </c>
      <c r="H101" s="21">
        <v>2600321</v>
      </c>
      <c r="I101" s="21" t="s">
        <v>271</v>
      </c>
      <c r="J101" s="20" t="s">
        <v>219</v>
      </c>
      <c r="K101" s="50" t="s">
        <v>309</v>
      </c>
      <c r="L101" s="75">
        <v>46031.668749999997</v>
      </c>
    </row>
    <row r="102" spans="1:12" ht="13.9" customHeight="1" x14ac:dyDescent="0.2">
      <c r="A102" s="21" t="s">
        <v>180</v>
      </c>
      <c r="B102" s="21" t="s">
        <v>12</v>
      </c>
      <c r="C102" s="21" t="s">
        <v>10</v>
      </c>
      <c r="D102" s="40">
        <v>72993104255</v>
      </c>
      <c r="E102" s="51" t="s">
        <v>242</v>
      </c>
      <c r="F102" s="22" t="s">
        <v>297</v>
      </c>
      <c r="G102" s="22" t="s">
        <v>285</v>
      </c>
      <c r="H102" s="21">
        <v>2600323</v>
      </c>
      <c r="I102" s="21" t="s">
        <v>252</v>
      </c>
      <c r="J102" s="20" t="s">
        <v>219</v>
      </c>
      <c r="K102" s="50" t="s">
        <v>309</v>
      </c>
      <c r="L102" s="75">
        <v>45665.56527777778</v>
      </c>
    </row>
    <row r="103" spans="1:12" ht="13.9" customHeight="1" x14ac:dyDescent="0.2">
      <c r="A103" s="61" t="s">
        <v>180</v>
      </c>
      <c r="B103" s="61" t="s">
        <v>12</v>
      </c>
      <c r="C103" s="61" t="s">
        <v>10</v>
      </c>
      <c r="D103" s="61">
        <v>72945784060</v>
      </c>
      <c r="E103" s="61" t="s">
        <v>221</v>
      </c>
      <c r="F103" s="22" t="s">
        <v>332</v>
      </c>
      <c r="G103" s="22" t="s">
        <v>261</v>
      </c>
      <c r="H103" s="21">
        <v>2600329</v>
      </c>
      <c r="I103" s="21" t="s">
        <v>236</v>
      </c>
      <c r="J103" s="20" t="s">
        <v>219</v>
      </c>
      <c r="K103" s="50" t="s">
        <v>333</v>
      </c>
      <c r="L103" s="75">
        <v>46031.354166666664</v>
      </c>
    </row>
    <row r="104" spans="1:12" ht="13.9" customHeight="1" x14ac:dyDescent="0.2">
      <c r="A104" s="61" t="s">
        <v>180</v>
      </c>
      <c r="B104" s="61" t="s">
        <v>12</v>
      </c>
      <c r="C104" s="61" t="s">
        <v>10</v>
      </c>
      <c r="D104" s="61">
        <v>72945784071</v>
      </c>
      <c r="E104" s="61" t="s">
        <v>228</v>
      </c>
      <c r="F104" s="22" t="s">
        <v>331</v>
      </c>
      <c r="G104" s="22" t="s">
        <v>264</v>
      </c>
      <c r="H104" s="21">
        <v>2600330</v>
      </c>
      <c r="I104" s="21" t="s">
        <v>248</v>
      </c>
      <c r="J104" s="20" t="s">
        <v>219</v>
      </c>
      <c r="K104" s="50" t="s">
        <v>333</v>
      </c>
      <c r="L104" s="75">
        <v>46032.3125</v>
      </c>
    </row>
    <row r="105" spans="1:12" ht="13.9" customHeight="1" x14ac:dyDescent="0.2">
      <c r="A105" s="61" t="s">
        <v>180</v>
      </c>
      <c r="B105" s="61" t="s">
        <v>12</v>
      </c>
      <c r="C105" s="61" t="s">
        <v>10</v>
      </c>
      <c r="D105" s="62" t="s">
        <v>265</v>
      </c>
      <c r="E105" s="61" t="s">
        <v>224</v>
      </c>
      <c r="F105" s="22" t="s">
        <v>330</v>
      </c>
      <c r="G105" s="22" t="s">
        <v>263</v>
      </c>
      <c r="H105" s="21">
        <v>2600331</v>
      </c>
      <c r="I105" s="21" t="s">
        <v>255</v>
      </c>
      <c r="J105" s="20" t="s">
        <v>219</v>
      </c>
      <c r="K105" s="50" t="s">
        <v>333</v>
      </c>
      <c r="L105" s="75">
        <v>46030.711111111108</v>
      </c>
    </row>
    <row r="106" spans="1:12" ht="13.9" customHeight="1" x14ac:dyDescent="0.2">
      <c r="A106" s="61" t="s">
        <v>180</v>
      </c>
      <c r="B106" s="61" t="s">
        <v>12</v>
      </c>
      <c r="C106" s="61" t="s">
        <v>10</v>
      </c>
      <c r="D106" s="63">
        <v>20230613354</v>
      </c>
      <c r="E106" s="61" t="s">
        <v>258</v>
      </c>
      <c r="F106" s="22" t="s">
        <v>318</v>
      </c>
      <c r="G106" s="55" t="s">
        <v>278</v>
      </c>
      <c r="H106" s="21">
        <v>2600349</v>
      </c>
      <c r="I106" s="21" t="s">
        <v>272</v>
      </c>
      <c r="J106" s="20" t="s">
        <v>219</v>
      </c>
      <c r="K106" s="50" t="s">
        <v>333</v>
      </c>
      <c r="L106" s="75">
        <v>46031.989583333336</v>
      </c>
    </row>
    <row r="107" spans="1:12" ht="13.9" customHeight="1" x14ac:dyDescent="0.2">
      <c r="A107" s="21" t="s">
        <v>180</v>
      </c>
      <c r="B107" s="21" t="s">
        <v>12</v>
      </c>
      <c r="C107" s="21" t="s">
        <v>10</v>
      </c>
      <c r="D107" s="40">
        <v>72993104476</v>
      </c>
      <c r="E107" s="51" t="s">
        <v>286</v>
      </c>
      <c r="F107" s="22" t="s">
        <v>323</v>
      </c>
      <c r="G107" s="22" t="s">
        <v>326</v>
      </c>
      <c r="H107" s="21">
        <v>2600332</v>
      </c>
      <c r="I107" s="21" t="s">
        <v>251</v>
      </c>
      <c r="J107" s="20" t="s">
        <v>219</v>
      </c>
      <c r="K107" s="50" t="s">
        <v>333</v>
      </c>
      <c r="L107" s="75">
        <v>46031.656944444447</v>
      </c>
    </row>
    <row r="108" spans="1:12" ht="13.9" customHeight="1" x14ac:dyDescent="0.2">
      <c r="A108" s="21" t="s">
        <v>180</v>
      </c>
      <c r="B108" s="21" t="s">
        <v>12</v>
      </c>
      <c r="C108" s="21" t="s">
        <v>10</v>
      </c>
      <c r="D108" s="40">
        <v>72993104465</v>
      </c>
      <c r="E108" s="51" t="s">
        <v>245</v>
      </c>
      <c r="F108" s="22" t="s">
        <v>322</v>
      </c>
      <c r="G108" s="22" t="s">
        <v>325</v>
      </c>
      <c r="H108" s="21">
        <v>2600333</v>
      </c>
      <c r="I108" s="21" t="s">
        <v>251</v>
      </c>
      <c r="J108" s="20" t="s">
        <v>219</v>
      </c>
      <c r="K108" s="50" t="s">
        <v>333</v>
      </c>
      <c r="L108" s="75">
        <v>46031.656944444447</v>
      </c>
    </row>
    <row r="109" spans="1:12" ht="13.9" customHeight="1" x14ac:dyDescent="0.2">
      <c r="A109" s="21" t="s">
        <v>180</v>
      </c>
      <c r="B109" s="21" t="s">
        <v>12</v>
      </c>
      <c r="C109" s="21" t="s">
        <v>10</v>
      </c>
      <c r="D109" s="40">
        <v>20231144956</v>
      </c>
      <c r="E109" s="21" t="s">
        <v>218</v>
      </c>
      <c r="F109" s="22" t="s">
        <v>321</v>
      </c>
      <c r="G109" s="21" t="s">
        <v>324</v>
      </c>
      <c r="H109" s="21">
        <v>2600335</v>
      </c>
      <c r="I109" s="21" t="s">
        <v>251</v>
      </c>
      <c r="J109" s="20" t="s">
        <v>219</v>
      </c>
      <c r="K109" s="50" t="s">
        <v>333</v>
      </c>
      <c r="L109" s="75">
        <v>46014.690972222219</v>
      </c>
    </row>
    <row r="110" spans="1:12" ht="13.9" customHeight="1" x14ac:dyDescent="0.2">
      <c r="A110" s="21" t="s">
        <v>180</v>
      </c>
      <c r="B110" s="21" t="s">
        <v>12</v>
      </c>
      <c r="C110" s="21" t="s">
        <v>10</v>
      </c>
      <c r="D110" s="65">
        <v>72993104594</v>
      </c>
      <c r="E110" s="59" t="s">
        <v>320</v>
      </c>
      <c r="F110" s="22" t="s">
        <v>319</v>
      </c>
      <c r="G110" s="22" t="s">
        <v>327</v>
      </c>
      <c r="H110" s="21">
        <v>2600341</v>
      </c>
      <c r="I110" s="21" t="s">
        <v>251</v>
      </c>
      <c r="J110" s="20" t="s">
        <v>219</v>
      </c>
      <c r="K110" s="50" t="s">
        <v>333</v>
      </c>
      <c r="L110" s="75">
        <v>45669.371527777781</v>
      </c>
    </row>
    <row r="111" spans="1:12" ht="13.9" customHeight="1" x14ac:dyDescent="0.2">
      <c r="A111" s="21" t="s">
        <v>180</v>
      </c>
      <c r="B111" s="21" t="s">
        <v>9</v>
      </c>
      <c r="C111" s="21" t="s">
        <v>10</v>
      </c>
      <c r="D111" s="40">
        <v>72945863613</v>
      </c>
      <c r="E111" s="21" t="s">
        <v>312</v>
      </c>
      <c r="G111" s="22" t="s">
        <v>270</v>
      </c>
      <c r="H111" s="21">
        <v>2600356</v>
      </c>
      <c r="I111" s="21" t="s">
        <v>227</v>
      </c>
      <c r="J111" s="20" t="s">
        <v>219</v>
      </c>
      <c r="K111" s="67" t="s">
        <v>38</v>
      </c>
      <c r="L111" s="75">
        <v>46031.324305555558</v>
      </c>
    </row>
    <row r="112" spans="1:12" ht="13.9" customHeight="1" x14ac:dyDescent="0.2">
      <c r="A112" s="21" t="s">
        <v>180</v>
      </c>
      <c r="B112" s="21" t="s">
        <v>12</v>
      </c>
      <c r="C112" s="21" t="s">
        <v>10</v>
      </c>
      <c r="D112" s="21">
        <v>72945863705</v>
      </c>
      <c r="E112" s="21" t="s">
        <v>229</v>
      </c>
      <c r="F112" s="22" t="s">
        <v>343</v>
      </c>
      <c r="G112" s="22" t="s">
        <v>345</v>
      </c>
      <c r="H112" s="21">
        <v>2600372</v>
      </c>
      <c r="I112" s="21" t="s">
        <v>301</v>
      </c>
      <c r="J112" s="20" t="s">
        <v>219</v>
      </c>
      <c r="K112" s="50" t="s">
        <v>333</v>
      </c>
      <c r="L112" s="75">
        <v>46033.941666666666</v>
      </c>
    </row>
    <row r="113" spans="1:12" ht="13.9" customHeight="1" x14ac:dyDescent="0.2">
      <c r="A113" s="21" t="s">
        <v>180</v>
      </c>
      <c r="B113" s="21" t="s">
        <v>12</v>
      </c>
      <c r="C113" s="21" t="s">
        <v>10</v>
      </c>
      <c r="D113" s="21">
        <v>72945646764</v>
      </c>
      <c r="E113" s="51" t="s">
        <v>239</v>
      </c>
      <c r="G113" s="22" t="s">
        <v>344</v>
      </c>
      <c r="H113" s="21">
        <v>2600376</v>
      </c>
      <c r="I113" s="21" t="s">
        <v>301</v>
      </c>
      <c r="J113" s="20" t="s">
        <v>219</v>
      </c>
      <c r="K113" s="50" t="s">
        <v>333</v>
      </c>
      <c r="L113" s="75">
        <v>46033.939583333333</v>
      </c>
    </row>
    <row r="114" spans="1:12" ht="13.9" customHeight="1" x14ac:dyDescent="0.2">
      <c r="A114" s="21" t="s">
        <v>180</v>
      </c>
      <c r="B114" s="21" t="s">
        <v>15</v>
      </c>
      <c r="C114" s="21" t="s">
        <v>16</v>
      </c>
      <c r="D114" s="23">
        <v>72991101393</v>
      </c>
      <c r="E114" s="23" t="s">
        <v>231</v>
      </c>
      <c r="F114" s="22" t="s">
        <v>233</v>
      </c>
      <c r="H114" s="23">
        <v>2600274</v>
      </c>
      <c r="J114" s="20" t="s">
        <v>11</v>
      </c>
      <c r="K114" s="66" t="s">
        <v>335</v>
      </c>
      <c r="L114" s="75">
        <v>46030.693749999999</v>
      </c>
    </row>
    <row r="115" spans="1:12" ht="13.9" customHeight="1" x14ac:dyDescent="0.2">
      <c r="A115" s="21" t="s">
        <v>180</v>
      </c>
      <c r="B115" s="21" t="s">
        <v>15</v>
      </c>
      <c r="C115" s="21" t="s">
        <v>16</v>
      </c>
      <c r="D115" s="21">
        <v>72991101382</v>
      </c>
      <c r="E115" s="21" t="s">
        <v>232</v>
      </c>
      <c r="F115" s="22" t="s">
        <v>234</v>
      </c>
      <c r="G115" s="22"/>
      <c r="H115" s="21">
        <v>2600272</v>
      </c>
      <c r="I115" s="21"/>
      <c r="J115" s="20" t="s">
        <v>11</v>
      </c>
      <c r="K115" s="66" t="s">
        <v>335</v>
      </c>
      <c r="L115" s="75">
        <v>46030.541666666664</v>
      </c>
    </row>
    <row r="116" spans="1:12" ht="13.9" customHeight="1" x14ac:dyDescent="0.2">
      <c r="A116" s="21" t="s">
        <v>180</v>
      </c>
      <c r="B116" s="21" t="s">
        <v>15</v>
      </c>
      <c r="C116" s="21" t="s">
        <v>16</v>
      </c>
      <c r="D116" s="21">
        <v>72991101463</v>
      </c>
      <c r="E116" s="21" t="s">
        <v>304</v>
      </c>
      <c r="F116" s="22" t="s">
        <v>314</v>
      </c>
      <c r="G116" s="22"/>
      <c r="H116" s="21">
        <v>2600327</v>
      </c>
      <c r="I116" s="21"/>
      <c r="J116" s="20" t="s">
        <v>11</v>
      </c>
      <c r="K116" s="66" t="s">
        <v>335</v>
      </c>
      <c r="L116" s="75">
        <v>46031.661805555559</v>
      </c>
    </row>
    <row r="117" spans="1:12" ht="13.9" customHeight="1" x14ac:dyDescent="0.2">
      <c r="A117" s="21" t="s">
        <v>180</v>
      </c>
      <c r="B117" s="21" t="s">
        <v>15</v>
      </c>
      <c r="C117" s="21" t="s">
        <v>16</v>
      </c>
      <c r="D117" s="21">
        <v>72991101430</v>
      </c>
      <c r="E117" s="21" t="s">
        <v>305</v>
      </c>
      <c r="F117" s="22" t="s">
        <v>315</v>
      </c>
      <c r="G117" s="22"/>
      <c r="H117" s="21">
        <v>2600326</v>
      </c>
      <c r="I117" s="21"/>
      <c r="J117" s="20" t="s">
        <v>11</v>
      </c>
      <c r="K117" s="66" t="s">
        <v>336</v>
      </c>
      <c r="L117" s="75">
        <v>46031.660416666666</v>
      </c>
    </row>
    <row r="118" spans="1:12" ht="13.9" customHeight="1" x14ac:dyDescent="0.2">
      <c r="A118" s="21" t="s">
        <v>180</v>
      </c>
      <c r="B118" s="21" t="s">
        <v>15</v>
      </c>
      <c r="C118" s="21" t="s">
        <v>16</v>
      </c>
      <c r="D118" s="21">
        <v>72991101426</v>
      </c>
      <c r="E118" s="21" t="s">
        <v>306</v>
      </c>
      <c r="F118" s="22" t="s">
        <v>316</v>
      </c>
      <c r="G118" s="22"/>
      <c r="H118" s="21">
        <v>2600325</v>
      </c>
      <c r="I118" s="21"/>
      <c r="J118" s="20" t="s">
        <v>11</v>
      </c>
      <c r="K118" s="66" t="s">
        <v>335</v>
      </c>
      <c r="L118" s="75">
        <v>46031.658333333333</v>
      </c>
    </row>
    <row r="119" spans="1:12" ht="13.9" customHeight="1" x14ac:dyDescent="0.2">
      <c r="A119" s="21" t="s">
        <v>180</v>
      </c>
      <c r="B119" s="21" t="s">
        <v>15</v>
      </c>
      <c r="C119" s="21" t="s">
        <v>16</v>
      </c>
      <c r="D119" s="21">
        <v>72991101452</v>
      </c>
      <c r="E119" s="21" t="s">
        <v>307</v>
      </c>
      <c r="F119" s="22" t="s">
        <v>313</v>
      </c>
      <c r="G119" s="22"/>
      <c r="H119" s="21">
        <v>2600328</v>
      </c>
      <c r="I119" s="21"/>
      <c r="J119" s="20" t="s">
        <v>11</v>
      </c>
      <c r="K119" s="66" t="s">
        <v>336</v>
      </c>
      <c r="L119" s="75">
        <v>46031.656944444447</v>
      </c>
    </row>
    <row r="120" spans="1:12" ht="13.9" customHeight="1" x14ac:dyDescent="0.2">
      <c r="A120" s="21" t="s">
        <v>180</v>
      </c>
      <c r="B120" s="21" t="s">
        <v>15</v>
      </c>
      <c r="C120" s="21" t="s">
        <v>16</v>
      </c>
      <c r="D120" s="21">
        <v>72991101441</v>
      </c>
      <c r="E120" s="21" t="s">
        <v>308</v>
      </c>
      <c r="F120" s="22" t="s">
        <v>317</v>
      </c>
      <c r="G120" s="22"/>
      <c r="H120" s="21">
        <v>2600324</v>
      </c>
      <c r="I120" s="21"/>
      <c r="J120" s="20" t="s">
        <v>11</v>
      </c>
      <c r="K120" s="66" t="s">
        <v>336</v>
      </c>
      <c r="L120" s="75">
        <v>46031.654861111114</v>
      </c>
    </row>
    <row r="121" spans="1:12" ht="13.9" customHeight="1" x14ac:dyDescent="0.2">
      <c r="A121" s="61" t="s">
        <v>180</v>
      </c>
      <c r="B121" s="61" t="s">
        <v>9</v>
      </c>
      <c r="C121" s="61" t="s">
        <v>10</v>
      </c>
      <c r="D121" s="61">
        <v>72945784056</v>
      </c>
      <c r="E121" s="61" t="s">
        <v>302</v>
      </c>
      <c r="F121" s="22" t="s">
        <v>195</v>
      </c>
      <c r="G121" s="22" t="s">
        <v>273</v>
      </c>
      <c r="H121" s="21">
        <v>2600355</v>
      </c>
      <c r="I121" s="21" t="s">
        <v>250</v>
      </c>
      <c r="J121" s="20" t="s">
        <v>219</v>
      </c>
      <c r="K121" s="67" t="s">
        <v>38</v>
      </c>
      <c r="L121" s="75">
        <v>46032.311805555553</v>
      </c>
    </row>
    <row r="122" spans="1:12" ht="13.9" customHeight="1" x14ac:dyDescent="0.2">
      <c r="A122" s="21" t="s">
        <v>180</v>
      </c>
      <c r="B122" s="21" t="s">
        <v>12</v>
      </c>
      <c r="C122" s="21" t="s">
        <v>10</v>
      </c>
      <c r="D122" s="40">
        <v>72945864302</v>
      </c>
      <c r="E122" s="59" t="s">
        <v>310</v>
      </c>
      <c r="F122" s="22" t="s">
        <v>362</v>
      </c>
      <c r="G122" s="22" t="s">
        <v>364</v>
      </c>
      <c r="H122" s="21">
        <v>2600418</v>
      </c>
      <c r="I122" s="21" t="s">
        <v>352</v>
      </c>
      <c r="J122" s="20" t="s">
        <v>219</v>
      </c>
      <c r="K122" s="50" t="s">
        <v>309</v>
      </c>
      <c r="L122" s="75">
        <v>46034.934027777781</v>
      </c>
    </row>
    <row r="123" spans="1:12" ht="13.9" customHeight="1" x14ac:dyDescent="0.2">
      <c r="A123" s="21" t="s">
        <v>180</v>
      </c>
      <c r="B123" s="21" t="s">
        <v>12</v>
      </c>
      <c r="C123" s="21" t="s">
        <v>10</v>
      </c>
      <c r="D123" s="21">
        <v>72945863952</v>
      </c>
      <c r="E123" s="51" t="s">
        <v>238</v>
      </c>
      <c r="F123" s="22" t="s">
        <v>361</v>
      </c>
      <c r="G123" s="22" t="s">
        <v>365</v>
      </c>
      <c r="H123" s="21">
        <v>2600419</v>
      </c>
      <c r="I123" s="21" t="s">
        <v>352</v>
      </c>
      <c r="J123" s="20" t="s">
        <v>219</v>
      </c>
      <c r="K123" s="50" t="s">
        <v>309</v>
      </c>
      <c r="L123" s="75">
        <v>46031.355555555558</v>
      </c>
    </row>
    <row r="124" spans="1:12" ht="13.9" customHeight="1" x14ac:dyDescent="0.2">
      <c r="A124" s="21" t="s">
        <v>180</v>
      </c>
      <c r="B124" s="21" t="s">
        <v>12</v>
      </c>
      <c r="C124" s="21" t="s">
        <v>10</v>
      </c>
      <c r="D124" s="40">
        <v>72945864394</v>
      </c>
      <c r="E124" s="59" t="s">
        <v>329</v>
      </c>
      <c r="F124" s="22" t="s">
        <v>360</v>
      </c>
      <c r="G124" s="22" t="s">
        <v>363</v>
      </c>
      <c r="H124" s="21">
        <v>2600420</v>
      </c>
      <c r="I124" s="21" t="s">
        <v>352</v>
      </c>
      <c r="J124" s="20" t="s">
        <v>219</v>
      </c>
      <c r="K124" s="50" t="s">
        <v>309</v>
      </c>
      <c r="L124" s="75">
        <v>46034.933333333334</v>
      </c>
    </row>
    <row r="125" spans="1:12" ht="13.9" customHeight="1" x14ac:dyDescent="0.2">
      <c r="A125" s="21" t="s">
        <v>180</v>
      </c>
      <c r="B125" s="21" t="s">
        <v>15</v>
      </c>
      <c r="C125" s="21" t="s">
        <v>16</v>
      </c>
      <c r="D125" s="21">
        <v>72991101511</v>
      </c>
      <c r="E125" s="21" t="s">
        <v>338</v>
      </c>
      <c r="F125" s="22" t="s">
        <v>350</v>
      </c>
      <c r="G125" s="22"/>
      <c r="H125" s="21">
        <v>2600385</v>
      </c>
      <c r="I125" s="21"/>
      <c r="J125" s="20" t="s">
        <v>11</v>
      </c>
      <c r="K125" s="29" t="s">
        <v>367</v>
      </c>
      <c r="L125" s="75">
        <v>46034.682638888888</v>
      </c>
    </row>
    <row r="126" spans="1:12" ht="13.9" customHeight="1" x14ac:dyDescent="0.2">
      <c r="A126" s="21" t="s">
        <v>180</v>
      </c>
      <c r="B126" s="21" t="s">
        <v>15</v>
      </c>
      <c r="C126" s="21" t="s">
        <v>16</v>
      </c>
      <c r="D126" s="21">
        <v>72991101522</v>
      </c>
      <c r="E126" s="21" t="s">
        <v>339</v>
      </c>
      <c r="F126" s="22" t="s">
        <v>349</v>
      </c>
      <c r="G126" s="22"/>
      <c r="H126" s="21">
        <v>2600384</v>
      </c>
      <c r="I126" s="21"/>
      <c r="J126" s="20" t="s">
        <v>11</v>
      </c>
      <c r="K126" s="29" t="s">
        <v>367</v>
      </c>
      <c r="L126" s="75">
        <v>46034.636111111111</v>
      </c>
    </row>
    <row r="127" spans="1:12" ht="13.9" customHeight="1" x14ac:dyDescent="0.2">
      <c r="A127" s="21" t="s">
        <v>180</v>
      </c>
      <c r="B127" s="21" t="s">
        <v>15</v>
      </c>
      <c r="C127" s="21" t="s">
        <v>16</v>
      </c>
      <c r="D127" s="21">
        <v>72991101500</v>
      </c>
      <c r="E127" s="21" t="s">
        <v>340</v>
      </c>
      <c r="F127" s="22" t="s">
        <v>348</v>
      </c>
      <c r="G127" s="22"/>
      <c r="H127" s="21">
        <v>2600383</v>
      </c>
      <c r="I127" s="21"/>
      <c r="J127" s="20" t="s">
        <v>11</v>
      </c>
      <c r="K127" s="29" t="s">
        <v>367</v>
      </c>
      <c r="L127" s="75">
        <v>46034.634722222225</v>
      </c>
    </row>
    <row r="128" spans="1:12" ht="13.9" customHeight="1" x14ac:dyDescent="0.2">
      <c r="A128" s="21" t="s">
        <v>180</v>
      </c>
      <c r="B128" s="21" t="s">
        <v>15</v>
      </c>
      <c r="C128" s="21" t="s">
        <v>16</v>
      </c>
      <c r="D128" s="21">
        <v>72991101485</v>
      </c>
      <c r="E128" s="21" t="s">
        <v>341</v>
      </c>
      <c r="F128" s="22" t="s">
        <v>347</v>
      </c>
      <c r="G128" s="22"/>
      <c r="H128" s="21">
        <v>2600382</v>
      </c>
      <c r="I128" s="21"/>
      <c r="J128" s="20" t="s">
        <v>11</v>
      </c>
      <c r="K128" s="29" t="s">
        <v>367</v>
      </c>
      <c r="L128" s="75">
        <v>46034.631944444445</v>
      </c>
    </row>
    <row r="129" spans="1:12" ht="13.9" customHeight="1" x14ac:dyDescent="0.2">
      <c r="A129" s="21" t="s">
        <v>180</v>
      </c>
      <c r="B129" s="21" t="s">
        <v>15</v>
      </c>
      <c r="C129" s="21" t="s">
        <v>16</v>
      </c>
      <c r="D129" s="21">
        <v>72991101496</v>
      </c>
      <c r="E129" s="21" t="s">
        <v>342</v>
      </c>
      <c r="F129" s="22" t="s">
        <v>346</v>
      </c>
      <c r="G129" s="22"/>
      <c r="H129" s="21">
        <v>2600381</v>
      </c>
      <c r="I129" s="21"/>
      <c r="J129" s="20" t="s">
        <v>11</v>
      </c>
      <c r="K129" s="29" t="s">
        <v>367</v>
      </c>
      <c r="L129" s="75">
        <v>46034.629166666666</v>
      </c>
    </row>
    <row r="130" spans="1:12" ht="13.9" customHeight="1" x14ac:dyDescent="0.2">
      <c r="A130" s="21" t="s">
        <v>180</v>
      </c>
      <c r="B130" s="21" t="s">
        <v>12</v>
      </c>
      <c r="C130" s="21" t="s">
        <v>10</v>
      </c>
      <c r="D130" s="40">
        <v>20231479280</v>
      </c>
      <c r="E130" s="59" t="s">
        <v>334</v>
      </c>
      <c r="F130" s="22" t="s">
        <v>387</v>
      </c>
      <c r="G130" s="22"/>
      <c r="H130" s="21">
        <v>2600444</v>
      </c>
      <c r="I130" s="21" t="s">
        <v>381</v>
      </c>
      <c r="J130" s="20" t="s">
        <v>219</v>
      </c>
      <c r="K130" s="50" t="s">
        <v>333</v>
      </c>
      <c r="L130" s="75">
        <v>46034.822916666664</v>
      </c>
    </row>
    <row r="131" spans="1:12" ht="13.9" customHeight="1" x14ac:dyDescent="0.2">
      <c r="A131" s="21" t="s">
        <v>180</v>
      </c>
      <c r="B131" s="21" t="s">
        <v>15</v>
      </c>
      <c r="C131" s="21" t="s">
        <v>16</v>
      </c>
      <c r="D131" s="21">
        <v>72991101474</v>
      </c>
      <c r="E131" s="21" t="s">
        <v>337</v>
      </c>
      <c r="F131" s="22" t="s">
        <v>380</v>
      </c>
      <c r="G131" s="22"/>
      <c r="H131" s="21">
        <v>2600437</v>
      </c>
      <c r="I131" s="21"/>
      <c r="J131" s="20" t="s">
        <v>11</v>
      </c>
      <c r="K131" s="29" t="s">
        <v>367</v>
      </c>
      <c r="L131" s="75">
        <v>46034.693055555559</v>
      </c>
    </row>
    <row r="132" spans="1:12" ht="13.9" customHeight="1" x14ac:dyDescent="0.2">
      <c r="A132" s="21" t="s">
        <v>180</v>
      </c>
      <c r="B132" s="21" t="s">
        <v>15</v>
      </c>
      <c r="C132" s="21" t="s">
        <v>16</v>
      </c>
      <c r="D132" s="21">
        <v>72991101555</v>
      </c>
      <c r="E132" s="21" t="s">
        <v>374</v>
      </c>
      <c r="F132" s="22" t="s">
        <v>377</v>
      </c>
      <c r="G132" s="22"/>
      <c r="H132" s="21">
        <v>2600440</v>
      </c>
      <c r="I132" s="21"/>
      <c r="J132" s="20" t="s">
        <v>11</v>
      </c>
      <c r="K132" s="29" t="s">
        <v>367</v>
      </c>
      <c r="L132" s="75">
        <v>46035.56527777778</v>
      </c>
    </row>
    <row r="133" spans="1:12" ht="13.9" customHeight="1" x14ac:dyDescent="0.2">
      <c r="A133" s="21" t="s">
        <v>180</v>
      </c>
      <c r="B133" s="21" t="s">
        <v>15</v>
      </c>
      <c r="C133" s="21" t="s">
        <v>16</v>
      </c>
      <c r="D133" s="21">
        <v>72991101544</v>
      </c>
      <c r="E133" s="21" t="s">
        <v>375</v>
      </c>
      <c r="F133" s="22" t="s">
        <v>378</v>
      </c>
      <c r="G133" s="22"/>
      <c r="H133" s="21">
        <v>2600439</v>
      </c>
      <c r="I133" s="21"/>
      <c r="J133" s="20" t="s">
        <v>11</v>
      </c>
      <c r="K133" s="29" t="s">
        <v>367</v>
      </c>
      <c r="L133" s="75">
        <v>46035.563194444447</v>
      </c>
    </row>
    <row r="134" spans="1:12" ht="13.9" customHeight="1" x14ac:dyDescent="0.2">
      <c r="A134" s="21" t="s">
        <v>180</v>
      </c>
      <c r="B134" s="21" t="s">
        <v>15</v>
      </c>
      <c r="C134" s="21" t="s">
        <v>16</v>
      </c>
      <c r="D134" s="21">
        <v>72991101533</v>
      </c>
      <c r="E134" s="21" t="s">
        <v>376</v>
      </c>
      <c r="F134" s="22" t="s">
        <v>379</v>
      </c>
      <c r="G134" s="22"/>
      <c r="H134" s="21">
        <v>2600438</v>
      </c>
      <c r="I134" s="21"/>
      <c r="J134" s="20" t="s">
        <v>11</v>
      </c>
      <c r="K134" s="29" t="s">
        <v>367</v>
      </c>
      <c r="L134" s="75">
        <v>46035.561805555553</v>
      </c>
    </row>
    <row r="135" spans="1:12" ht="13.9" customHeight="1" x14ac:dyDescent="0.2">
      <c r="A135" s="21" t="s">
        <v>180</v>
      </c>
      <c r="B135" s="21" t="s">
        <v>15</v>
      </c>
      <c r="C135" s="21" t="s">
        <v>16</v>
      </c>
      <c r="D135" s="21">
        <v>72991101566</v>
      </c>
      <c r="E135" s="21" t="s">
        <v>373</v>
      </c>
      <c r="F135" s="22" t="s">
        <v>407</v>
      </c>
      <c r="G135" s="22"/>
      <c r="H135" s="21">
        <v>2600474</v>
      </c>
      <c r="I135" s="21"/>
      <c r="J135" s="20" t="s">
        <v>11</v>
      </c>
      <c r="K135" s="29" t="s">
        <v>367</v>
      </c>
      <c r="L135" s="75">
        <v>46035.693749999999</v>
      </c>
    </row>
    <row r="136" spans="1:12" ht="13.9" customHeight="1" x14ac:dyDescent="0.2">
      <c r="A136" s="21" t="s">
        <v>180</v>
      </c>
      <c r="B136" s="21" t="s">
        <v>15</v>
      </c>
      <c r="C136" s="21" t="s">
        <v>16</v>
      </c>
      <c r="D136" s="21">
        <v>72991101570</v>
      </c>
      <c r="E136" s="21" t="s">
        <v>405</v>
      </c>
      <c r="G136" s="22"/>
      <c r="H136" s="21">
        <v>2600475</v>
      </c>
      <c r="I136" s="21"/>
      <c r="J136" s="20" t="s">
        <v>11</v>
      </c>
      <c r="K136" s="29" t="s">
        <v>367</v>
      </c>
      <c r="L136" s="75">
        <v>46036.655555555553</v>
      </c>
    </row>
    <row r="137" spans="1:12" ht="13.9" customHeight="1" x14ac:dyDescent="0.2">
      <c r="A137" s="21" t="s">
        <v>180</v>
      </c>
      <c r="B137" s="21" t="s">
        <v>15</v>
      </c>
      <c r="C137" s="21" t="s">
        <v>16</v>
      </c>
      <c r="D137" s="21">
        <v>72991101581</v>
      </c>
      <c r="E137" s="21" t="s">
        <v>406</v>
      </c>
      <c r="G137" s="22"/>
      <c r="H137" s="21">
        <v>2600468</v>
      </c>
      <c r="I137" s="21"/>
      <c r="J137" s="20" t="s">
        <v>11</v>
      </c>
      <c r="K137" s="29" t="s">
        <v>367</v>
      </c>
      <c r="L137" s="75">
        <v>46036.536805555559</v>
      </c>
    </row>
    <row r="138" spans="1:12" ht="13.9" customHeight="1" x14ac:dyDescent="0.2">
      <c r="A138" s="21" t="s">
        <v>180</v>
      </c>
      <c r="B138" s="21" t="s">
        <v>15</v>
      </c>
      <c r="C138" s="21" t="s">
        <v>16</v>
      </c>
      <c r="D138" s="21">
        <v>72991101636</v>
      </c>
      <c r="E138" s="21" t="s">
        <v>408</v>
      </c>
      <c r="G138" s="22"/>
      <c r="H138" s="21">
        <v>2600473</v>
      </c>
      <c r="I138" s="21"/>
      <c r="J138" s="20" t="s">
        <v>11</v>
      </c>
      <c r="K138" s="29" t="s">
        <v>367</v>
      </c>
      <c r="L138" s="75">
        <v>46036.619444444441</v>
      </c>
    </row>
    <row r="139" spans="1:12" ht="13.9" customHeight="1" x14ac:dyDescent="0.2">
      <c r="A139" s="21" t="s">
        <v>180</v>
      </c>
      <c r="B139" s="21" t="s">
        <v>15</v>
      </c>
      <c r="C139" s="21" t="s">
        <v>16</v>
      </c>
      <c r="D139" s="21">
        <v>72991101625</v>
      </c>
      <c r="E139" s="21" t="s">
        <v>409</v>
      </c>
      <c r="G139" s="22"/>
      <c r="H139" s="21">
        <v>2600471</v>
      </c>
      <c r="I139" s="21"/>
      <c r="J139" s="20" t="s">
        <v>11</v>
      </c>
      <c r="K139" s="29" t="s">
        <v>367</v>
      </c>
      <c r="L139" s="75">
        <v>46036.615277777775</v>
      </c>
    </row>
    <row r="140" spans="1:12" ht="13.9" customHeight="1" x14ac:dyDescent="0.2">
      <c r="A140" s="21" t="s">
        <v>180</v>
      </c>
      <c r="B140" s="21" t="s">
        <v>15</v>
      </c>
      <c r="C140" s="21" t="s">
        <v>16</v>
      </c>
      <c r="D140" s="21">
        <v>72991101614</v>
      </c>
      <c r="E140" s="21" t="s">
        <v>410</v>
      </c>
      <c r="G140" s="22"/>
      <c r="H140" s="21">
        <v>2600470</v>
      </c>
      <c r="I140" s="21"/>
      <c r="J140" s="20" t="s">
        <v>11</v>
      </c>
      <c r="K140" s="29" t="s">
        <v>367</v>
      </c>
      <c r="L140" s="75">
        <v>46036.545138888891</v>
      </c>
    </row>
    <row r="141" spans="1:12" ht="13.9" customHeight="1" x14ac:dyDescent="0.2">
      <c r="A141" s="21" t="s">
        <v>180</v>
      </c>
      <c r="B141" s="21" t="s">
        <v>15</v>
      </c>
      <c r="C141" s="21" t="s">
        <v>16</v>
      </c>
      <c r="D141" s="21">
        <v>72991101603</v>
      </c>
      <c r="E141" s="21" t="s">
        <v>411</v>
      </c>
      <c r="G141" s="22"/>
      <c r="H141" s="21">
        <v>2600469</v>
      </c>
      <c r="I141" s="21"/>
      <c r="J141" s="20" t="s">
        <v>11</v>
      </c>
      <c r="K141" s="29" t="s">
        <v>367</v>
      </c>
      <c r="L141" s="75">
        <v>46036.540972222225</v>
      </c>
    </row>
    <row r="142" spans="1:12" ht="13.9" customHeight="1" x14ac:dyDescent="0.2">
      <c r="A142" s="21" t="s">
        <v>180</v>
      </c>
      <c r="B142" s="21" t="s">
        <v>12</v>
      </c>
      <c r="C142" s="21" t="s">
        <v>10</v>
      </c>
      <c r="D142" s="40">
        <v>72945864022</v>
      </c>
      <c r="E142" s="21" t="s">
        <v>260</v>
      </c>
      <c r="F142" s="22" t="s">
        <v>392</v>
      </c>
      <c r="G142" s="22" t="s">
        <v>396</v>
      </c>
      <c r="H142" s="21">
        <v>2600477</v>
      </c>
      <c r="I142" s="21" t="s">
        <v>353</v>
      </c>
      <c r="J142" s="20" t="s">
        <v>219</v>
      </c>
      <c r="K142" s="50" t="s">
        <v>333</v>
      </c>
      <c r="L142" s="75">
        <v>46036.54791666667</v>
      </c>
    </row>
    <row r="143" spans="1:12" ht="13.9" customHeight="1" x14ac:dyDescent="0.2">
      <c r="A143" s="21" t="s">
        <v>180</v>
      </c>
      <c r="B143" s="21" t="s">
        <v>12</v>
      </c>
      <c r="C143" s="21" t="s">
        <v>10</v>
      </c>
      <c r="D143" s="40">
        <v>72945864405</v>
      </c>
      <c r="E143" s="59" t="s">
        <v>328</v>
      </c>
      <c r="F143" s="22" t="s">
        <v>393</v>
      </c>
      <c r="G143" s="22" t="s">
        <v>401</v>
      </c>
      <c r="H143" s="21">
        <v>2600478</v>
      </c>
      <c r="I143" s="21" t="s">
        <v>354</v>
      </c>
      <c r="J143" s="20" t="s">
        <v>219</v>
      </c>
      <c r="K143" s="50" t="s">
        <v>333</v>
      </c>
      <c r="L143" s="75">
        <v>46036.551388888889</v>
      </c>
    </row>
    <row r="144" spans="1:12" ht="13.9" customHeight="1" x14ac:dyDescent="0.2">
      <c r="A144" s="21" t="s">
        <v>180</v>
      </c>
      <c r="B144" s="21" t="s">
        <v>12</v>
      </c>
      <c r="C144" s="21" t="s">
        <v>10</v>
      </c>
      <c r="D144" s="40">
        <v>72945864733</v>
      </c>
      <c r="E144" s="59" t="s">
        <v>372</v>
      </c>
      <c r="F144" s="22" t="s">
        <v>395</v>
      </c>
      <c r="G144" s="22" t="s">
        <v>399</v>
      </c>
      <c r="H144" s="21">
        <v>2600481</v>
      </c>
      <c r="I144" s="21" t="s">
        <v>354</v>
      </c>
      <c r="J144" s="20" t="s">
        <v>219</v>
      </c>
      <c r="K144" s="50" t="s">
        <v>333</v>
      </c>
      <c r="L144" s="75">
        <v>46036.549305555556</v>
      </c>
    </row>
    <row r="145" spans="1:12" ht="13.9" customHeight="1" x14ac:dyDescent="0.2">
      <c r="A145" s="21" t="s">
        <v>180</v>
      </c>
      <c r="B145" s="21" t="s">
        <v>12</v>
      </c>
      <c r="C145" s="21" t="s">
        <v>10</v>
      </c>
      <c r="D145" s="40">
        <v>72945864965</v>
      </c>
      <c r="E145" s="59" t="s">
        <v>368</v>
      </c>
      <c r="F145" s="22" t="s">
        <v>394</v>
      </c>
      <c r="G145" s="22" t="s">
        <v>398</v>
      </c>
      <c r="H145" s="21">
        <v>2600479</v>
      </c>
      <c r="I145" s="21" t="s">
        <v>353</v>
      </c>
      <c r="J145" s="20" t="s">
        <v>391</v>
      </c>
      <c r="K145" s="50" t="s">
        <v>333</v>
      </c>
      <c r="L145" s="75">
        <v>46035.790277777778</v>
      </c>
    </row>
    <row r="146" spans="1:12" ht="13.9" customHeight="1" x14ac:dyDescent="0.2">
      <c r="A146" s="21" t="s">
        <v>180</v>
      </c>
      <c r="B146" s="21" t="s">
        <v>12</v>
      </c>
      <c r="C146" s="21" t="s">
        <v>10</v>
      </c>
      <c r="D146" s="64">
        <v>72945864055</v>
      </c>
      <c r="E146" s="59" t="s">
        <v>298</v>
      </c>
      <c r="G146" s="22" t="s">
        <v>400</v>
      </c>
      <c r="H146" s="21">
        <v>2600480</v>
      </c>
      <c r="I146" s="21" t="s">
        <v>382</v>
      </c>
      <c r="J146" s="20" t="s">
        <v>219</v>
      </c>
      <c r="K146" s="50" t="s">
        <v>333</v>
      </c>
      <c r="L146" s="75">
        <v>46036.561111111114</v>
      </c>
    </row>
    <row r="147" spans="1:12" ht="13.9" customHeight="1" x14ac:dyDescent="0.2">
      <c r="A147" s="21" t="s">
        <v>180</v>
      </c>
      <c r="B147" s="21" t="s">
        <v>12</v>
      </c>
      <c r="C147" s="21" t="s">
        <v>10</v>
      </c>
      <c r="D147" s="40">
        <v>72993104745</v>
      </c>
      <c r="E147" s="59" t="s">
        <v>358</v>
      </c>
      <c r="G147" s="22" t="s">
        <v>403</v>
      </c>
      <c r="H147" s="21">
        <v>2600482</v>
      </c>
      <c r="I147" s="21" t="s">
        <v>382</v>
      </c>
      <c r="J147" s="20" t="s">
        <v>219</v>
      </c>
      <c r="K147" s="50" t="s">
        <v>333</v>
      </c>
      <c r="L147" s="75">
        <v>46035.443055555559</v>
      </c>
    </row>
    <row r="148" spans="1:12" ht="13.9" customHeight="1" x14ac:dyDescent="0.2">
      <c r="A148" s="21" t="s">
        <v>180</v>
      </c>
      <c r="B148" s="21" t="s">
        <v>12</v>
      </c>
      <c r="C148" s="21" t="s">
        <v>10</v>
      </c>
      <c r="D148" s="40">
        <v>72945864383</v>
      </c>
      <c r="E148" s="59" t="s">
        <v>385</v>
      </c>
      <c r="G148" s="22" t="s">
        <v>402</v>
      </c>
      <c r="H148" s="21">
        <v>2600483</v>
      </c>
      <c r="I148" s="21" t="s">
        <v>382</v>
      </c>
      <c r="J148" s="70" t="s">
        <v>391</v>
      </c>
      <c r="K148" s="50" t="s">
        <v>333</v>
      </c>
      <c r="L148" s="75">
        <v>46036.386805555558</v>
      </c>
    </row>
    <row r="149" spans="1:12" ht="13.9" customHeight="1" x14ac:dyDescent="0.2">
      <c r="A149" s="21" t="s">
        <v>180</v>
      </c>
      <c r="B149" s="21" t="s">
        <v>12</v>
      </c>
      <c r="C149" s="21" t="s">
        <v>10</v>
      </c>
      <c r="D149" s="64">
        <v>72945863845</v>
      </c>
      <c r="E149" s="59" t="s">
        <v>299</v>
      </c>
      <c r="G149" s="22" t="s">
        <v>397</v>
      </c>
      <c r="H149" s="21">
        <v>2600489</v>
      </c>
      <c r="I149" s="21" t="s">
        <v>353</v>
      </c>
      <c r="J149" s="60" t="s">
        <v>219</v>
      </c>
      <c r="K149" s="50" t="s">
        <v>333</v>
      </c>
      <c r="L149" s="75">
        <v>46036.546527777777</v>
      </c>
    </row>
    <row r="150" spans="1:12" ht="13.9" customHeight="1" x14ac:dyDescent="0.2">
      <c r="A150" s="53" t="s">
        <v>200</v>
      </c>
      <c r="B150" s="51" t="s">
        <v>13</v>
      </c>
      <c r="C150" s="21" t="s">
        <v>10</v>
      </c>
      <c r="D150" s="40">
        <v>72993311455</v>
      </c>
      <c r="E150" s="21" t="s">
        <v>217</v>
      </c>
      <c r="F150" s="22" t="s">
        <v>222</v>
      </c>
      <c r="G150" s="22" t="s">
        <v>220</v>
      </c>
      <c r="H150" s="21">
        <v>2600035</v>
      </c>
      <c r="I150" s="21" t="s">
        <v>216</v>
      </c>
      <c r="J150" s="20" t="s">
        <v>219</v>
      </c>
      <c r="K150" s="50" t="s">
        <v>38</v>
      </c>
      <c r="L150" s="75">
        <v>46021.481249999997</v>
      </c>
    </row>
    <row r="151" spans="1:12" ht="13.9" customHeight="1" x14ac:dyDescent="0.2">
      <c r="A151" s="21" t="s">
        <v>180</v>
      </c>
      <c r="B151" s="21" t="s">
        <v>9</v>
      </c>
      <c r="C151" s="21" t="s">
        <v>10</v>
      </c>
      <c r="D151" s="21">
        <v>72945863576</v>
      </c>
      <c r="E151" s="26" t="s">
        <v>303</v>
      </c>
      <c r="G151" s="21" t="s">
        <v>404</v>
      </c>
      <c r="H151" s="21">
        <v>2600486</v>
      </c>
      <c r="I151" s="21" t="s">
        <v>354</v>
      </c>
      <c r="J151" s="20" t="s">
        <v>219</v>
      </c>
      <c r="K151" s="50" t="s">
        <v>38</v>
      </c>
      <c r="L151" s="75">
        <v>46036.545138888891</v>
      </c>
    </row>
    <row r="152" spans="1:12" ht="13.9" customHeight="1" x14ac:dyDescent="0.2">
      <c r="A152" s="21" t="s">
        <v>180</v>
      </c>
      <c r="B152" s="21" t="s">
        <v>12</v>
      </c>
      <c r="C152" s="21" t="s">
        <v>10</v>
      </c>
      <c r="D152" s="40">
        <v>72993104966</v>
      </c>
      <c r="E152" s="59" t="s">
        <v>415</v>
      </c>
      <c r="G152" s="22"/>
      <c r="H152" s="21">
        <v>2600507</v>
      </c>
      <c r="I152" s="21" t="s">
        <v>390</v>
      </c>
      <c r="J152" s="20" t="s">
        <v>219</v>
      </c>
      <c r="K152" s="50" t="s">
        <v>333</v>
      </c>
      <c r="L152" s="75">
        <v>46036.62222222222</v>
      </c>
    </row>
    <row r="153" spans="1:12" ht="13.9" customHeight="1" x14ac:dyDescent="0.2">
      <c r="A153" s="21" t="s">
        <v>180</v>
      </c>
      <c r="B153" s="21" t="s">
        <v>15</v>
      </c>
      <c r="C153" s="21" t="s">
        <v>16</v>
      </c>
      <c r="D153" s="21">
        <v>72991101651</v>
      </c>
      <c r="E153" s="21" t="s">
        <v>425</v>
      </c>
      <c r="G153" s="22" t="s">
        <v>426</v>
      </c>
      <c r="H153" s="21">
        <v>2600521</v>
      </c>
      <c r="I153" s="21"/>
      <c r="J153" s="20" t="s">
        <v>11</v>
      </c>
      <c r="K153" s="29" t="s">
        <v>367</v>
      </c>
      <c r="L153" s="75">
        <v>46037.68472222222</v>
      </c>
    </row>
    <row r="154" spans="1:12" ht="13.9" customHeight="1" x14ac:dyDescent="0.2">
      <c r="A154" s="21" t="s">
        <v>180</v>
      </c>
      <c r="B154" s="21" t="s">
        <v>15</v>
      </c>
      <c r="C154" s="21" t="s">
        <v>16</v>
      </c>
      <c r="D154" s="21">
        <v>72991101721</v>
      </c>
      <c r="E154" s="21" t="s">
        <v>427</v>
      </c>
      <c r="G154" s="22" t="s">
        <v>428</v>
      </c>
      <c r="H154" s="21">
        <v>2600520</v>
      </c>
      <c r="I154" s="21"/>
      <c r="J154" s="20" t="s">
        <v>11</v>
      </c>
      <c r="K154" s="29" t="s">
        <v>367</v>
      </c>
      <c r="L154" s="75">
        <v>46037.70208333333</v>
      </c>
    </row>
    <row r="155" spans="1:12" ht="13.9" customHeight="1" x14ac:dyDescent="0.2">
      <c r="A155" s="21" t="s">
        <v>180</v>
      </c>
      <c r="B155" s="21" t="s">
        <v>15</v>
      </c>
      <c r="C155" s="21" t="s">
        <v>16</v>
      </c>
      <c r="D155" s="21">
        <v>72991101710</v>
      </c>
      <c r="E155" s="21" t="s">
        <v>430</v>
      </c>
      <c r="G155" s="22" t="s">
        <v>429</v>
      </c>
      <c r="H155" s="21">
        <v>2600519</v>
      </c>
      <c r="I155" s="21"/>
      <c r="J155" s="20" t="s">
        <v>11</v>
      </c>
      <c r="K155" s="29" t="s">
        <v>367</v>
      </c>
      <c r="L155" s="75">
        <v>46037.7</v>
      </c>
    </row>
    <row r="156" spans="1:12" ht="13.9" customHeight="1" x14ac:dyDescent="0.2">
      <c r="A156" s="21" t="s">
        <v>180</v>
      </c>
      <c r="B156" s="21" t="s">
        <v>15</v>
      </c>
      <c r="C156" s="21" t="s">
        <v>16</v>
      </c>
      <c r="D156" s="21">
        <v>72991101706</v>
      </c>
      <c r="E156" s="21" t="s">
        <v>431</v>
      </c>
      <c r="G156" s="22" t="s">
        <v>432</v>
      </c>
      <c r="H156" s="21">
        <v>2600518</v>
      </c>
      <c r="I156" s="21"/>
      <c r="J156" s="20" t="s">
        <v>11</v>
      </c>
      <c r="K156" s="29" t="s">
        <v>367</v>
      </c>
      <c r="L156" s="75">
        <v>46037.698611111111</v>
      </c>
    </row>
    <row r="157" spans="1:12" ht="13.9" customHeight="1" x14ac:dyDescent="0.2">
      <c r="A157" s="21" t="s">
        <v>180</v>
      </c>
      <c r="B157" s="21" t="s">
        <v>15</v>
      </c>
      <c r="C157" s="21" t="s">
        <v>16</v>
      </c>
      <c r="D157" s="21">
        <v>72991101695</v>
      </c>
      <c r="E157" s="21" t="s">
        <v>433</v>
      </c>
      <c r="G157" s="22" t="s">
        <v>447</v>
      </c>
      <c r="H157" s="21">
        <v>2600517</v>
      </c>
      <c r="I157" s="21"/>
      <c r="J157" s="20" t="s">
        <v>11</v>
      </c>
      <c r="K157" s="29" t="s">
        <v>367</v>
      </c>
      <c r="L157" s="75">
        <v>46037.693749999999</v>
      </c>
    </row>
    <row r="158" spans="1:12" ht="13.9" customHeight="1" x14ac:dyDescent="0.2">
      <c r="A158" s="21" t="s">
        <v>180</v>
      </c>
      <c r="B158" s="21" t="s">
        <v>15</v>
      </c>
      <c r="C158" s="21" t="s">
        <v>16</v>
      </c>
      <c r="D158" s="21">
        <v>72991101684</v>
      </c>
      <c r="E158" s="21" t="s">
        <v>434</v>
      </c>
      <c r="G158" s="22" t="s">
        <v>435</v>
      </c>
      <c r="H158" s="21">
        <v>2600516</v>
      </c>
      <c r="I158" s="21"/>
      <c r="J158" s="20" t="s">
        <v>11</v>
      </c>
      <c r="K158" s="29" t="s">
        <v>367</v>
      </c>
      <c r="L158" s="75">
        <v>46037.690972222219</v>
      </c>
    </row>
    <row r="159" spans="1:12" ht="13.9" customHeight="1" x14ac:dyDescent="0.2">
      <c r="A159" s="21" t="s">
        <v>180</v>
      </c>
      <c r="B159" s="21" t="s">
        <v>15</v>
      </c>
      <c r="C159" s="21" t="s">
        <v>16</v>
      </c>
      <c r="D159" s="21">
        <v>72991101673</v>
      </c>
      <c r="E159" s="21" t="s">
        <v>436</v>
      </c>
      <c r="G159" s="22" t="s">
        <v>437</v>
      </c>
      <c r="H159" s="21">
        <v>2600515</v>
      </c>
      <c r="I159" s="21"/>
      <c r="J159" s="20" t="s">
        <v>11</v>
      </c>
      <c r="K159" s="29" t="s">
        <v>367</v>
      </c>
      <c r="L159" s="75">
        <v>46037.689583333333</v>
      </c>
    </row>
    <row r="160" spans="1:12" ht="13.9" customHeight="1" x14ac:dyDescent="0.2">
      <c r="A160" s="21" t="s">
        <v>180</v>
      </c>
      <c r="B160" s="21" t="s">
        <v>15</v>
      </c>
      <c r="C160" s="21" t="s">
        <v>16</v>
      </c>
      <c r="D160" s="21">
        <v>72991101662</v>
      </c>
      <c r="E160" s="21" t="s">
        <v>438</v>
      </c>
      <c r="G160" s="22" t="s">
        <v>439</v>
      </c>
      <c r="H160" s="21">
        <v>2600514</v>
      </c>
      <c r="I160" s="21"/>
      <c r="J160" s="20" t="s">
        <v>11</v>
      </c>
      <c r="K160" s="29" t="s">
        <v>367</v>
      </c>
      <c r="L160" s="75">
        <v>46037.686805555553</v>
      </c>
    </row>
    <row r="161" spans="1:12" ht="13.9" customHeight="1" x14ac:dyDescent="0.2">
      <c r="A161" s="21" t="s">
        <v>180</v>
      </c>
      <c r="B161" s="21" t="s">
        <v>15</v>
      </c>
      <c r="C161" s="21" t="s">
        <v>16</v>
      </c>
      <c r="D161" s="21">
        <v>72991101640</v>
      </c>
      <c r="E161" s="21" t="s">
        <v>440</v>
      </c>
      <c r="G161" s="22" t="s">
        <v>441</v>
      </c>
      <c r="H161" s="21">
        <v>2600513</v>
      </c>
      <c r="I161" s="21"/>
      <c r="J161" s="20" t="s">
        <v>11</v>
      </c>
      <c r="K161" s="29" t="s">
        <v>367</v>
      </c>
      <c r="L161" s="75">
        <v>46037.683333333334</v>
      </c>
    </row>
    <row r="162" spans="1:12" s="19" customFormat="1" ht="13.9" customHeight="1" x14ac:dyDescent="0.2">
      <c r="A162" s="61" t="s">
        <v>180</v>
      </c>
      <c r="B162" s="61" t="s">
        <v>13</v>
      </c>
      <c r="C162" s="61" t="s">
        <v>10</v>
      </c>
      <c r="D162" s="61">
        <v>72945784034</v>
      </c>
      <c r="E162" s="61" t="s">
        <v>225</v>
      </c>
      <c r="F162" s="22" t="s">
        <v>351</v>
      </c>
      <c r="G162" s="22" t="s">
        <v>235</v>
      </c>
      <c r="H162" s="21">
        <v>2600361</v>
      </c>
      <c r="I162" s="21" t="s">
        <v>226</v>
      </c>
      <c r="J162" s="20" t="s">
        <v>219</v>
      </c>
      <c r="K162" s="50" t="s">
        <v>333</v>
      </c>
      <c r="L162" s="75">
        <v>46031.3</v>
      </c>
    </row>
    <row r="163" spans="1:12" s="19" customFormat="1" ht="13.9" customHeight="1" x14ac:dyDescent="0.2">
      <c r="A163" s="61" t="s">
        <v>180</v>
      </c>
      <c r="B163" s="61" t="s">
        <v>13</v>
      </c>
      <c r="C163" s="61" t="s">
        <v>10</v>
      </c>
      <c r="D163" s="61">
        <v>72945784045</v>
      </c>
      <c r="E163" s="61" t="s">
        <v>240</v>
      </c>
      <c r="F163" s="22" t="s">
        <v>389</v>
      </c>
      <c r="G163" s="22" t="s">
        <v>366</v>
      </c>
      <c r="H163" s="21">
        <v>2600391</v>
      </c>
      <c r="I163" s="31" t="s">
        <v>300</v>
      </c>
      <c r="J163" s="20" t="s">
        <v>219</v>
      </c>
      <c r="K163" s="50" t="s">
        <v>333</v>
      </c>
      <c r="L163" s="75">
        <v>46034.332638888889</v>
      </c>
    </row>
    <row r="164" spans="1:12" s="19" customFormat="1" ht="13.9" customHeight="1" x14ac:dyDescent="0.2">
      <c r="A164" s="21" t="s">
        <v>180</v>
      </c>
      <c r="B164" s="21" t="s">
        <v>13</v>
      </c>
      <c r="C164" s="21" t="s">
        <v>10</v>
      </c>
      <c r="D164" s="40">
        <v>72945769183</v>
      </c>
      <c r="E164" s="21" t="s">
        <v>223</v>
      </c>
      <c r="F164" s="22" t="s">
        <v>388</v>
      </c>
      <c r="G164" s="22" t="s">
        <v>262</v>
      </c>
      <c r="H164" s="21">
        <v>2600398</v>
      </c>
      <c r="I164" s="21" t="s">
        <v>249</v>
      </c>
      <c r="J164" s="20" t="s">
        <v>219</v>
      </c>
      <c r="K164" s="50" t="s">
        <v>38</v>
      </c>
      <c r="L164" s="75">
        <v>46034.362500000003</v>
      </c>
    </row>
    <row r="165" spans="1:12" s="19" customFormat="1" ht="13.9" customHeight="1" x14ac:dyDescent="0.2">
      <c r="A165" s="21" t="s">
        <v>180</v>
      </c>
      <c r="B165" s="21" t="s">
        <v>12</v>
      </c>
      <c r="C165" s="21" t="s">
        <v>10</v>
      </c>
      <c r="D165" s="40">
        <v>72993104922</v>
      </c>
      <c r="E165" s="21" t="s">
        <v>416</v>
      </c>
      <c r="F165" s="22"/>
      <c r="G165" s="22" t="s">
        <v>424</v>
      </c>
      <c r="H165" s="21">
        <v>2600522</v>
      </c>
      <c r="I165" s="21" t="s">
        <v>443</v>
      </c>
      <c r="J165" s="20" t="s">
        <v>219</v>
      </c>
      <c r="K165" s="50" t="s">
        <v>333</v>
      </c>
      <c r="L165" s="75">
        <v>46036.613888888889</v>
      </c>
    </row>
    <row r="166" spans="1:12" s="19" customFormat="1" ht="13.9" customHeight="1" x14ac:dyDescent="0.2">
      <c r="A166" s="21" t="s">
        <v>180</v>
      </c>
      <c r="B166" s="21" t="s">
        <v>12</v>
      </c>
      <c r="C166" s="21" t="s">
        <v>10</v>
      </c>
      <c r="D166" s="40">
        <v>72945864884</v>
      </c>
      <c r="E166" s="59" t="s">
        <v>369</v>
      </c>
      <c r="F166" s="22"/>
      <c r="G166" s="22" t="s">
        <v>422</v>
      </c>
      <c r="H166" s="21">
        <v>2600523</v>
      </c>
      <c r="I166" s="21" t="s">
        <v>442</v>
      </c>
      <c r="J166" s="20" t="s">
        <v>219</v>
      </c>
      <c r="K166" s="50" t="s">
        <v>333</v>
      </c>
      <c r="L166" s="75">
        <v>46036.84375</v>
      </c>
    </row>
    <row r="167" spans="1:12" s="19" customFormat="1" ht="13.9" customHeight="1" x14ac:dyDescent="0.2">
      <c r="A167" s="21" t="s">
        <v>180</v>
      </c>
      <c r="B167" s="21" t="s">
        <v>12</v>
      </c>
      <c r="C167" s="21" t="s">
        <v>10</v>
      </c>
      <c r="D167" s="77">
        <v>20231479501</v>
      </c>
      <c r="E167" s="59" t="s">
        <v>384</v>
      </c>
      <c r="F167" s="22"/>
      <c r="G167" s="22" t="s">
        <v>419</v>
      </c>
      <c r="H167" s="21">
        <v>2600525</v>
      </c>
      <c r="I167" s="21" t="s">
        <v>412</v>
      </c>
      <c r="J167" s="20" t="s">
        <v>219</v>
      </c>
      <c r="K167" s="50" t="s">
        <v>333</v>
      </c>
      <c r="L167" s="75">
        <v>46036.697222222225</v>
      </c>
    </row>
    <row r="168" spans="1:12" s="19" customFormat="1" ht="13.9" customHeight="1" x14ac:dyDescent="0.2">
      <c r="A168" s="21" t="s">
        <v>180</v>
      </c>
      <c r="B168" s="21" t="s">
        <v>12</v>
      </c>
      <c r="C168" s="21" t="s">
        <v>10</v>
      </c>
      <c r="D168" s="40">
        <v>72945865083</v>
      </c>
      <c r="E168" s="40" t="s">
        <v>386</v>
      </c>
      <c r="F168" s="22"/>
      <c r="G168" s="22" t="s">
        <v>417</v>
      </c>
      <c r="H168" s="21">
        <v>2600526</v>
      </c>
      <c r="I168" s="21" t="s">
        <v>413</v>
      </c>
      <c r="J168" s="70" t="s">
        <v>219</v>
      </c>
      <c r="K168" s="50" t="s">
        <v>333</v>
      </c>
      <c r="L168" s="75">
        <v>46037.347222222219</v>
      </c>
    </row>
    <row r="169" spans="1:12" s="19" customFormat="1" ht="13.9" customHeight="1" x14ac:dyDescent="0.2">
      <c r="A169" s="21" t="s">
        <v>180</v>
      </c>
      <c r="B169" s="21" t="s">
        <v>12</v>
      </c>
      <c r="C169" s="21" t="s">
        <v>10</v>
      </c>
      <c r="D169" s="77">
        <v>20231466374</v>
      </c>
      <c r="E169" s="59" t="s">
        <v>414</v>
      </c>
      <c r="F169" s="22"/>
      <c r="G169" s="22" t="s">
        <v>418</v>
      </c>
      <c r="H169" s="21">
        <v>2600524</v>
      </c>
      <c r="I169" s="21" t="s">
        <v>412</v>
      </c>
      <c r="J169" s="20" t="s">
        <v>219</v>
      </c>
      <c r="K169" s="50" t="s">
        <v>333</v>
      </c>
      <c r="L169" s="75">
        <v>46037.431250000001</v>
      </c>
    </row>
    <row r="170" spans="1:12" s="19" customFormat="1" ht="13.9" customHeight="1" x14ac:dyDescent="0.2">
      <c r="A170" s="21" t="s">
        <v>180</v>
      </c>
      <c r="B170" s="21" t="s">
        <v>12</v>
      </c>
      <c r="C170" s="21" t="s">
        <v>10</v>
      </c>
      <c r="D170" s="40">
        <v>72945864696</v>
      </c>
      <c r="E170" s="59" t="s">
        <v>371</v>
      </c>
      <c r="F170" s="22" t="s">
        <v>446</v>
      </c>
      <c r="G170" s="22" t="s">
        <v>421</v>
      </c>
      <c r="H170" s="21">
        <v>2600527</v>
      </c>
      <c r="I170" s="21" t="s">
        <v>442</v>
      </c>
      <c r="J170" s="20" t="s">
        <v>219</v>
      </c>
      <c r="K170" s="50" t="s">
        <v>333</v>
      </c>
      <c r="L170" s="75">
        <v>46037.417361111111</v>
      </c>
    </row>
    <row r="171" spans="1:12" s="19" customFormat="1" ht="13.9" customHeight="1" x14ac:dyDescent="0.2">
      <c r="A171" s="21" t="s">
        <v>180</v>
      </c>
      <c r="B171" s="21" t="s">
        <v>12</v>
      </c>
      <c r="C171" s="21" t="s">
        <v>10</v>
      </c>
      <c r="D171" s="74">
        <v>72945646812</v>
      </c>
      <c r="E171" s="59" t="s">
        <v>355</v>
      </c>
      <c r="F171" s="22" t="s">
        <v>445</v>
      </c>
      <c r="G171" s="22" t="s">
        <v>420</v>
      </c>
      <c r="H171" s="21">
        <v>2600531</v>
      </c>
      <c r="I171" s="21" t="s">
        <v>444</v>
      </c>
      <c r="J171" s="20" t="s">
        <v>219</v>
      </c>
      <c r="K171" s="50" t="s">
        <v>333</v>
      </c>
      <c r="L171" s="75">
        <v>46038.365277777775</v>
      </c>
    </row>
    <row r="172" spans="1:12" s="19" customFormat="1" ht="13.9" customHeight="1" x14ac:dyDescent="0.2">
      <c r="A172" s="21" t="s">
        <v>180</v>
      </c>
      <c r="B172" s="21" t="s">
        <v>9</v>
      </c>
      <c r="C172" s="21" t="s">
        <v>10</v>
      </c>
      <c r="D172" s="40">
        <v>72945864873</v>
      </c>
      <c r="E172" s="26" t="s">
        <v>370</v>
      </c>
      <c r="F172" s="22"/>
      <c r="G172" s="22" t="s">
        <v>423</v>
      </c>
      <c r="H172" s="21">
        <v>2600528</v>
      </c>
      <c r="I172" s="21" t="s">
        <v>383</v>
      </c>
      <c r="J172" s="20" t="s">
        <v>219</v>
      </c>
      <c r="K172" s="50" t="s">
        <v>449</v>
      </c>
      <c r="L172" s="75">
        <v>46037.417361111111</v>
      </c>
    </row>
  </sheetData>
  <conditionalFormatting sqref="E1:E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REVISE LISTA DE VERIFICACIÓN" xr:uid="{F9DA957E-C608-4901-B06C-4349ECD52F1D}">
          <x14:formula1>
            <xm:f>'LISTA DE VERIFICACIÓN'!$B$2:$B$11</xm:f>
          </x14:formula1>
          <xm:sqref>B2:B172</xm:sqref>
        </x14:dataValidation>
        <x14:dataValidation type="list" allowBlank="1" showInputMessage="1" showErrorMessage="1" errorTitle="REVISE LISTA DE VERIFICACION" xr:uid="{BCEE4E90-72D2-4932-BB5B-ED15224BF899}">
          <x14:formula1>
            <xm:f>'LISTA DE VERIFICACIÓN'!$A$2:$A$6</xm:f>
          </x14:formula1>
          <xm:sqref>C2:C172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9C2A1010BA8D4C8FF497B352A948DF" ma:contentTypeVersion="6" ma:contentTypeDescription="Crear nuevo documento." ma:contentTypeScope="" ma:versionID="9a014fae7904177b9586a2ac83cdeb8f">
  <xsd:schema xmlns:xsd="http://www.w3.org/2001/XMLSchema" xmlns:xs="http://www.w3.org/2001/XMLSchema" xmlns:p="http://schemas.microsoft.com/office/2006/metadata/properties" xmlns:ns2="7868dab1-1b8d-447c-9fb7-4cd2d6b219a2" xmlns:ns3="ff743ee1-0e83-46f8-9f25-6d22e629e339" targetNamespace="http://schemas.microsoft.com/office/2006/metadata/properties" ma:root="true" ma:fieldsID="bd1e242f584e613680e098759274fbc6" ns2:_="" ns3:_="">
    <xsd:import namespace="7868dab1-1b8d-447c-9fb7-4cd2d6b219a2"/>
    <xsd:import namespace="ff743ee1-0e83-46f8-9f25-6d22e629e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8dab1-1b8d-447c-9fb7-4cd2d6b21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43ee1-0e83-46f8-9f25-6d22e629e3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7AA2AE-0A9F-4EA0-8604-0CC1C05D607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9D9C47F-34C1-4E7C-A0CD-88A7DBD2AC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8dab1-1b8d-447c-9fb7-4cd2d6b219a2"/>
    <ds:schemaRef ds:uri="ff743ee1-0e83-46f8-9f25-6d22e629e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1C7B80-59A8-4423-866F-975C7F81EC23}">
  <ds:schemaRefs>
    <ds:schemaRef ds:uri="http://purl.org/dc/dcmitype/"/>
    <ds:schemaRef ds:uri="http://purl.org/dc/terms/"/>
    <ds:schemaRef ds:uri="http://schemas.microsoft.com/office/2006/metadata/properties"/>
    <ds:schemaRef ds:uri="ff743ee1-0e83-46f8-9f25-6d22e629e339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868dab1-1b8d-447c-9fb7-4cd2d6b219a2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7ED5856C-12BF-49E7-BFC0-F252A223222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95ecea-2d80-4438-b187-500ba7651319}" enabled="1" method="Standard" siteId="{a2addd3e-8397-4579-ba30-7a38803fc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STATUS (2)</vt:lpstr>
      <vt:lpstr>ENTREGADOS</vt:lpstr>
      <vt:lpstr>Hoja1</vt:lpstr>
      <vt:lpstr>aog</vt:lpstr>
      <vt:lpstr>SAB</vt:lpstr>
      <vt:lpstr>LISTA DE VERIFICACIÓN</vt:lpstr>
      <vt:lpstr>partidas</vt:lpstr>
      <vt:lpstr>JB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Fernando Ramirez Freire</dc:creator>
  <cp:keywords/>
  <dc:description/>
  <cp:lastModifiedBy>FRANKLIN  ORDOÑEZ</cp:lastModifiedBy>
  <cp:revision/>
  <cp:lastPrinted>2025-12-10T14:04:39Z</cp:lastPrinted>
  <dcterms:created xsi:type="dcterms:W3CDTF">2025-03-22T13:06:56Z</dcterms:created>
  <dcterms:modified xsi:type="dcterms:W3CDTF">2026-02-06T14:07:29Z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0x010100DD9C2A1010BA8D4C8FF497B352A948DF</vt:lpwstr>
  </property>
</Properties>
</file>